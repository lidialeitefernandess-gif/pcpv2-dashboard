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.lidiafernandes\Downloads\"/>
    </mc:Choice>
  </mc:AlternateContent>
  <xr:revisionPtr revIDLastSave="0" documentId="13_ncr:1_{FA576A50-3D54-46A5-B293-C34C8D0C781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SHBOARD" sheetId="1" r:id="rId1"/>
    <sheet name="Planilha3" sheetId="6" r:id="rId2"/>
    <sheet name="Planilha2" sheetId="2" state="hidden" r:id="rId3"/>
    <sheet name="BASE_OP" sheetId="3" r:id="rId4"/>
    <sheet name="CALCULOS" sheetId="4" r:id="rId5"/>
    <sheet name="Planilha4" sheetId="7" r:id="rId6"/>
  </sheets>
  <definedNames>
    <definedName name="_xlnm._FilterDatabase" localSheetId="3" hidden="1">BASE_OP!$A$1:$N$443</definedName>
    <definedName name="_xlnm._FilterDatabase" localSheetId="4" hidden="1">CALCULOS!$D$1:$G$102</definedName>
    <definedName name="ListaModelos">Planilha2!$D$4:$D$8</definedName>
    <definedName name="ListaStatus">Planilha2!$F$2:$F$6</definedName>
  </definedNames>
  <calcPr calcId="191029" forceFullCalc="1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 a="1"/>
  <c r="B3" i="4" s="1"/>
  <c r="B9" i="4" l="1" a="1"/>
  <c r="B9" i="4" s="1"/>
  <c r="B10" i="4" a="1"/>
  <c r="B10" i="4" s="1"/>
  <c r="B11" i="4" a="1"/>
  <c r="B11" i="4" s="1"/>
  <c r="B12" i="4" a="1"/>
  <c r="B12" i="4" s="1"/>
  <c r="B13" i="4" a="1"/>
  <c r="B13" i="4" s="1"/>
  <c r="B5" i="4"/>
  <c r="A7" i="1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M97" i="3"/>
  <c r="N97" i="3"/>
  <c r="M98" i="3"/>
  <c r="N98" i="3"/>
  <c r="M99" i="3"/>
  <c r="N99" i="3"/>
  <c r="M100" i="3"/>
  <c r="N100" i="3"/>
  <c r="M101" i="3"/>
  <c r="N101" i="3"/>
  <c r="M102" i="3"/>
  <c r="N102" i="3"/>
  <c r="M67" i="3"/>
  <c r="M68" i="3"/>
  <c r="B4" i="4" a="1"/>
  <c r="B4" i="4" s="1"/>
  <c r="E7" i="1" a="1"/>
  <c r="E7" i="1" s="1"/>
  <c r="B8" i="4"/>
  <c r="M3" i="4"/>
  <c r="M4" i="4"/>
  <c r="M5" i="4"/>
  <c r="M6" i="4"/>
  <c r="M7" i="4"/>
  <c r="M8" i="4"/>
  <c r="M9" i="4"/>
  <c r="M2" i="4"/>
  <c r="J6" i="4"/>
  <c r="J7" i="4"/>
  <c r="J8" i="4"/>
  <c r="J9" i="4"/>
  <c r="J10" i="4"/>
  <c r="J3" i="4"/>
  <c r="J4" i="4"/>
  <c r="J5" i="4"/>
  <c r="J2" i="4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 s="1"/>
  <c r="F34" i="4" a="1"/>
  <c r="F34" i="4" s="1"/>
  <c r="F35" i="4" a="1"/>
  <c r="F35" i="4" s="1"/>
  <c r="F36" i="4" a="1"/>
  <c r="F36" i="4" s="1"/>
  <c r="F37" i="4" a="1"/>
  <c r="F37" i="4" s="1"/>
  <c r="F38" i="4" a="1"/>
  <c r="F38" i="4" s="1"/>
  <c r="F39" i="4" a="1"/>
  <c r="F39" i="4" s="1"/>
  <c r="F40" i="4" a="1"/>
  <c r="F40" i="4" s="1"/>
  <c r="F41" i="4" a="1"/>
  <c r="F41" i="4" s="1"/>
  <c r="F42" i="4" a="1"/>
  <c r="F42" i="4" s="1"/>
  <c r="F43" i="4" a="1"/>
  <c r="F43" i="4" s="1"/>
  <c r="F44" i="4" a="1"/>
  <c r="F44" i="4" s="1"/>
  <c r="F45" i="4" a="1"/>
  <c r="F45" i="4" s="1"/>
  <c r="F46" i="4" a="1"/>
  <c r="F46" i="4" s="1"/>
  <c r="F47" i="4" a="1"/>
  <c r="F47" i="4" s="1"/>
  <c r="F48" i="4" a="1"/>
  <c r="F48" i="4" s="1"/>
  <c r="F49" i="4" a="1"/>
  <c r="F49" i="4" s="1"/>
  <c r="F50" i="4" a="1"/>
  <c r="F50" i="4" s="1"/>
  <c r="F51" i="4" a="1"/>
  <c r="F51" i="4" s="1"/>
  <c r="F52" i="4" a="1"/>
  <c r="F52" i="4" s="1"/>
  <c r="F53" i="4" a="1"/>
  <c r="F53" i="4" s="1"/>
  <c r="F54" i="4" a="1"/>
  <c r="F54" i="4" s="1"/>
  <c r="F55" i="4" a="1"/>
  <c r="F55" i="4" s="1"/>
  <c r="F56" i="4" a="1"/>
  <c r="F56" i="4" s="1"/>
  <c r="F57" i="4" a="1"/>
  <c r="F57" i="4" s="1"/>
  <c r="F58" i="4" a="1"/>
  <c r="F58" i="4" s="1"/>
  <c r="F59" i="4" a="1"/>
  <c r="F59" i="4" s="1"/>
  <c r="F60" i="4" a="1"/>
  <c r="F60" i="4" s="1"/>
  <c r="F61" i="4" a="1"/>
  <c r="F61" i="4" s="1"/>
  <c r="F62" i="4" a="1"/>
  <c r="F62" i="4" s="1"/>
  <c r="F63" i="4" a="1"/>
  <c r="F63" i="4" s="1"/>
  <c r="F64" i="4" a="1"/>
  <c r="F64" i="4" s="1"/>
  <c r="F65" i="4" a="1"/>
  <c r="F65" i="4" s="1"/>
  <c r="F66" i="4" a="1"/>
  <c r="F66" i="4" s="1"/>
  <c r="F67" i="4" a="1"/>
  <c r="F67" i="4" s="1"/>
  <c r="F68" i="4" a="1"/>
  <c r="F68" i="4" s="1"/>
  <c r="F69" i="4" a="1"/>
  <c r="F69" i="4" s="1"/>
  <c r="F70" i="4" a="1"/>
  <c r="F70" i="4" s="1"/>
  <c r="F71" i="4" a="1"/>
  <c r="F71" i="4" s="1"/>
  <c r="F72" i="4" a="1"/>
  <c r="F72" i="4" s="1"/>
  <c r="F73" i="4" a="1"/>
  <c r="F73" i="4" s="1"/>
  <c r="F74" i="4" a="1"/>
  <c r="F74" i="4" s="1"/>
  <c r="F75" i="4" a="1"/>
  <c r="F75" i="4" s="1"/>
  <c r="F76" i="4" a="1"/>
  <c r="F76" i="4" s="1"/>
  <c r="F77" i="4" a="1"/>
  <c r="F77" i="4" s="1"/>
  <c r="F78" i="4" a="1"/>
  <c r="F78" i="4" s="1"/>
  <c r="F79" i="4" a="1"/>
  <c r="F79" i="4" s="1"/>
  <c r="F80" i="4" a="1"/>
  <c r="F80" i="4" s="1"/>
  <c r="F81" i="4" a="1"/>
  <c r="F81" i="4" s="1"/>
  <c r="F82" i="4" a="1"/>
  <c r="F82" i="4" s="1"/>
  <c r="F83" i="4" a="1"/>
  <c r="F83" i="4" s="1"/>
  <c r="F84" i="4" a="1"/>
  <c r="F84" i="4" s="1"/>
  <c r="F85" i="4" a="1"/>
  <c r="F85" i="4" s="1"/>
  <c r="F86" i="4" a="1"/>
  <c r="F86" i="4" s="1"/>
  <c r="F87" i="4" a="1"/>
  <c r="F87" i="4" s="1"/>
  <c r="F88" i="4" a="1"/>
  <c r="F88" i="4" s="1"/>
  <c r="F89" i="4" a="1"/>
  <c r="F89" i="4" s="1"/>
  <c r="F90" i="4" a="1"/>
  <c r="F90" i="4" s="1"/>
  <c r="F91" i="4" a="1"/>
  <c r="F91" i="4" s="1"/>
  <c r="F92" i="4" a="1"/>
  <c r="F92" i="4" s="1"/>
  <c r="F93" i="4" a="1"/>
  <c r="F93" i="4" s="1"/>
  <c r="F94" i="4" a="1"/>
  <c r="F94" i="4" s="1"/>
  <c r="F95" i="4" a="1"/>
  <c r="F95" i="4" s="1"/>
  <c r="F96" i="4" a="1"/>
  <c r="F96" i="4" s="1"/>
  <c r="F97" i="4" a="1"/>
  <c r="F97" i="4" s="1"/>
  <c r="F98" i="4" a="1"/>
  <c r="F98" i="4" s="1"/>
  <c r="F99" i="4" a="1"/>
  <c r="F99" i="4" s="1"/>
  <c r="F100" i="4" a="1"/>
  <c r="F100" i="4" s="1"/>
  <c r="F101" i="4" a="1"/>
  <c r="F101" i="4" s="1"/>
  <c r="F102" i="4" a="1"/>
  <c r="F102" i="4" s="1"/>
  <c r="F2" i="4" a="1"/>
  <c r="F2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 s="1"/>
  <c r="E50" i="4" a="1"/>
  <c r="E50" i="4" s="1"/>
  <c r="E51" i="4" a="1"/>
  <c r="E51" i="4" s="1"/>
  <c r="E52" i="4" a="1"/>
  <c r="E52" i="4" s="1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70" i="4" a="1"/>
  <c r="E70" i="4" s="1"/>
  <c r="E71" i="4" a="1"/>
  <c r="E71" i="4" s="1"/>
  <c r="E72" i="4" a="1"/>
  <c r="E72" i="4" s="1"/>
  <c r="E73" i="4" a="1"/>
  <c r="E73" i="4" s="1"/>
  <c r="E74" i="4" a="1"/>
  <c r="E74" i="4" s="1"/>
  <c r="E75" i="4" a="1"/>
  <c r="E75" i="4" s="1"/>
  <c r="E76" i="4" a="1"/>
  <c r="E76" i="4" s="1"/>
  <c r="E77" i="4" a="1"/>
  <c r="E77" i="4" s="1"/>
  <c r="E78" i="4" a="1"/>
  <c r="E78" i="4" s="1"/>
  <c r="E79" i="4" a="1"/>
  <c r="E79" i="4" s="1"/>
  <c r="E80" i="4" a="1"/>
  <c r="E80" i="4" s="1"/>
  <c r="E81" i="4" a="1"/>
  <c r="E81" i="4" s="1"/>
  <c r="E82" i="4" a="1"/>
  <c r="E82" i="4" s="1"/>
  <c r="E83" i="4" a="1"/>
  <c r="E83" i="4" s="1"/>
  <c r="E84" i="4" a="1"/>
  <c r="E84" i="4" s="1"/>
  <c r="E85" i="4" a="1"/>
  <c r="E85" i="4" s="1"/>
  <c r="E86" i="4" a="1"/>
  <c r="E86" i="4" s="1"/>
  <c r="E87" i="4" a="1"/>
  <c r="E87" i="4" s="1"/>
  <c r="E88" i="4" a="1"/>
  <c r="E88" i="4" s="1"/>
  <c r="E89" i="4" a="1"/>
  <c r="E89" i="4" s="1"/>
  <c r="E90" i="4" a="1"/>
  <c r="E90" i="4" s="1"/>
  <c r="E91" i="4" a="1"/>
  <c r="E91" i="4" s="1"/>
  <c r="E92" i="4" a="1"/>
  <c r="E92" i="4" s="1"/>
  <c r="E93" i="4" a="1"/>
  <c r="E93" i="4" s="1"/>
  <c r="E94" i="4" a="1"/>
  <c r="E94" i="4" s="1"/>
  <c r="E95" i="4" a="1"/>
  <c r="E95" i="4" s="1"/>
  <c r="E96" i="4" a="1"/>
  <c r="E96" i="4" s="1"/>
  <c r="E97" i="4" a="1"/>
  <c r="E97" i="4" s="1"/>
  <c r="E98" i="4" a="1"/>
  <c r="E98" i="4" s="1"/>
  <c r="E99" i="4" a="1"/>
  <c r="E99" i="4" s="1"/>
  <c r="E100" i="4" a="1"/>
  <c r="E100" i="4" s="1"/>
  <c r="E101" i="4" a="1"/>
  <c r="E101" i="4" s="1"/>
  <c r="E102" i="4" a="1"/>
  <c r="E102" i="4" s="1"/>
  <c r="E2" i="4" a="1"/>
  <c r="E2" i="4" s="1"/>
  <c r="B7" i="4" a="1"/>
  <c r="B7" i="4" s="1"/>
  <c r="B6" i="4" a="1"/>
  <c r="B6" i="4" s="1"/>
  <c r="B2" i="4" a="1"/>
  <c r="B2" i="4" s="1"/>
  <c r="G17" i="4" l="1"/>
  <c r="G9" i="4"/>
  <c r="G81" i="4"/>
  <c r="G73" i="4"/>
  <c r="G65" i="4"/>
  <c r="G57" i="4"/>
  <c r="G49" i="4"/>
  <c r="G10" i="4"/>
  <c r="G98" i="4"/>
  <c r="G90" i="4"/>
  <c r="G82" i="4"/>
  <c r="G74" i="4"/>
  <c r="G66" i="4"/>
  <c r="G50" i="4"/>
  <c r="G42" i="4"/>
  <c r="G34" i="4"/>
  <c r="G26" i="4"/>
  <c r="G18" i="4"/>
  <c r="G93" i="4"/>
  <c r="G85" i="4"/>
  <c r="G77" i="4"/>
  <c r="G29" i="4"/>
  <c r="G21" i="4"/>
  <c r="G13" i="4"/>
  <c r="G5" i="4"/>
  <c r="G44" i="4"/>
  <c r="G36" i="4"/>
  <c r="G28" i="4"/>
  <c r="G20" i="4"/>
  <c r="G12" i="4"/>
  <c r="G4" i="4"/>
  <c r="G101" i="4"/>
  <c r="G69" i="4"/>
  <c r="G61" i="4"/>
  <c r="G53" i="4"/>
  <c r="G45" i="4"/>
  <c r="G37" i="4"/>
  <c r="G97" i="4"/>
  <c r="G89" i="4"/>
  <c r="G99" i="4"/>
  <c r="G91" i="4"/>
  <c r="G83" i="4"/>
  <c r="G75" i="4"/>
  <c r="G67" i="4"/>
  <c r="G59" i="4"/>
  <c r="G51" i="4"/>
  <c r="G19" i="4"/>
  <c r="G11" i="4"/>
  <c r="G3" i="4"/>
  <c r="G38" i="4"/>
  <c r="G30" i="4"/>
  <c r="G14" i="4"/>
  <c r="G6" i="4"/>
  <c r="G96" i="4"/>
  <c r="G88" i="4"/>
  <c r="G80" i="4"/>
  <c r="G72" i="4"/>
  <c r="G64" i="4"/>
  <c r="G100" i="4"/>
  <c r="G92" i="4"/>
  <c r="G84" i="4"/>
  <c r="G76" i="4"/>
  <c r="G68" i="4"/>
  <c r="G60" i="4"/>
  <c r="G52" i="4"/>
  <c r="G40" i="4"/>
  <c r="G32" i="4"/>
  <c r="G24" i="4"/>
  <c r="G16" i="4"/>
  <c r="G8" i="4"/>
  <c r="G55" i="4"/>
  <c r="G47" i="4"/>
  <c r="G43" i="4"/>
  <c r="G35" i="4"/>
  <c r="G27" i="4"/>
  <c r="G39" i="4"/>
  <c r="G31" i="4"/>
  <c r="G23" i="4"/>
  <c r="G15" i="4"/>
  <c r="G7" i="4"/>
  <c r="G102" i="4"/>
  <c r="G94" i="4"/>
  <c r="G86" i="4"/>
  <c r="G78" i="4"/>
  <c r="G70" i="4"/>
  <c r="G62" i="4"/>
  <c r="G54" i="4"/>
  <c r="G46" i="4"/>
  <c r="G58" i="4"/>
  <c r="G41" i="4"/>
  <c r="G33" i="4"/>
  <c r="G25" i="4"/>
  <c r="G2" i="4"/>
  <c r="G56" i="4"/>
  <c r="G48" i="4"/>
  <c r="G95" i="4"/>
  <c r="G87" i="4"/>
  <c r="G79" i="4"/>
  <c r="G71" i="4"/>
  <c r="G63" i="4"/>
  <c r="G22" i="4"/>
  <c r="N73" i="3"/>
  <c r="M73" i="3"/>
  <c r="N72" i="3"/>
  <c r="M72" i="3"/>
  <c r="N71" i="3"/>
  <c r="M71" i="3"/>
  <c r="N70" i="3"/>
  <c r="M70" i="3"/>
  <c r="N69" i="3"/>
  <c r="M69" i="3"/>
  <c r="N68" i="3"/>
  <c r="N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B7" i="2"/>
  <c r="B6" i="2"/>
  <c r="B5" i="2"/>
  <c r="B4" i="2"/>
  <c r="J11" i="1"/>
  <c r="G11" i="1"/>
  <c r="D11" i="1"/>
  <c r="A11" i="1"/>
  <c r="K7" i="1"/>
  <c r="I7" i="1"/>
  <c r="A3" i="1"/>
  <c r="G7" i="1" l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<sst xmlns="http://schemas.openxmlformats.org/spreadsheetml/2006/main" count="712" uniqueCount="184">
  <si>
    <t xml:space="preserve"> PRODUÇÃO | PCP </t>
  </si>
  <si>
    <t>Modelo</t>
  </si>
  <si>
    <t>Todos</t>
  </si>
  <si>
    <t>Status</t>
  </si>
  <si>
    <t>PRODUÇÃO REALIZADA</t>
  </si>
  <si>
    <t>ADERÊNCIA AO PLANO</t>
  </si>
  <si>
    <t>BACKLOG</t>
  </si>
  <si>
    <t>FILL RATE</t>
  </si>
  <si>
    <t>CUMPRIMENTO DE PRAZO</t>
  </si>
  <si>
    <t>ORDENS DE PRODUÇÃO (OPs)</t>
  </si>
  <si>
    <t>OPs LIBERADAS</t>
  </si>
  <si>
    <t>OPs EM PRODUÇÃO</t>
  </si>
  <si>
    <t>AGUARDANDO MATERIAL</t>
  </si>
  <si>
    <t>OPs ATRASADAS</t>
  </si>
  <si>
    <t>Lista_Status</t>
  </si>
  <si>
    <t>Contagem de Modelo</t>
  </si>
  <si>
    <t>Lista_Modelos</t>
  </si>
  <si>
    <t>Ordem apontada em aberto</t>
  </si>
  <si>
    <t>BC22S02-6800100_BANCO MOT CHASSI</t>
  </si>
  <si>
    <t>Aguardando apontamento em aberta</t>
  </si>
  <si>
    <t>BYD6121BC4BEVF1S_CHASSIS BC12S03</t>
  </si>
  <si>
    <t>CHASSIS ELECTRIC BUS BC22S02</t>
  </si>
  <si>
    <t>Em Produção</t>
  </si>
  <si>
    <t>CHASSIS ONIBUS ELETRICO BC10S01</t>
  </si>
  <si>
    <t>Parada</t>
  </si>
  <si>
    <t>OP</t>
  </si>
  <si>
    <t>Material</t>
  </si>
  <si>
    <t>Qtd. Planejada</t>
  </si>
  <si>
    <t>Qtd. Fornecida</t>
  </si>
  <si>
    <t>Qtd. Produzida</t>
  </si>
  <si>
    <t>Data Planejada</t>
  </si>
  <si>
    <t>Data de conclusão base</t>
  </si>
  <si>
    <t>Data de entrada</t>
  </si>
  <si>
    <t>Motivo do Atraso</t>
  </si>
  <si>
    <t>Dias de Atraso</t>
  </si>
  <si>
    <t>Aderência</t>
  </si>
  <si>
    <t>Fechada/ Aberta</t>
  </si>
  <si>
    <t>19006834-00</t>
  </si>
  <si>
    <t>Manutenção</t>
  </si>
  <si>
    <t>19000001689</t>
  </si>
  <si>
    <t>19000001690</t>
  </si>
  <si>
    <t>19000001790</t>
  </si>
  <si>
    <t>19903843-00</t>
  </si>
  <si>
    <t>-</t>
  </si>
  <si>
    <t>19000001791</t>
  </si>
  <si>
    <t>Problemas de qualidade</t>
  </si>
  <si>
    <t>19000001792</t>
  </si>
  <si>
    <t>Ordem pendente de apontamento</t>
  </si>
  <si>
    <t>19000001793</t>
  </si>
  <si>
    <t>19000001794</t>
  </si>
  <si>
    <t>19000001795</t>
  </si>
  <si>
    <t>19000001832</t>
  </si>
  <si>
    <t>19000001842</t>
  </si>
  <si>
    <t>19000002032</t>
  </si>
  <si>
    <t>19144528-00</t>
  </si>
  <si>
    <t>19000001838</t>
  </si>
  <si>
    <t>19000001886</t>
  </si>
  <si>
    <t>19000001887</t>
  </si>
  <si>
    <t>19000001888</t>
  </si>
  <si>
    <t>19000001889</t>
  </si>
  <si>
    <t>19000001890</t>
  </si>
  <si>
    <t>19000001891</t>
  </si>
  <si>
    <t>19000001892</t>
  </si>
  <si>
    <t>19000001893</t>
  </si>
  <si>
    <t>19000001894</t>
  </si>
  <si>
    <t>19000001895</t>
  </si>
  <si>
    <t>19000001896</t>
  </si>
  <si>
    <t>19000001897</t>
  </si>
  <si>
    <t>19000001898</t>
  </si>
  <si>
    <t>19000001899</t>
  </si>
  <si>
    <t>19000001900</t>
  </si>
  <si>
    <t>19000001901</t>
  </si>
  <si>
    <t>19000001902</t>
  </si>
  <si>
    <t>19000001903</t>
  </si>
  <si>
    <t>19000001969</t>
  </si>
  <si>
    <t>20983890-00</t>
  </si>
  <si>
    <t>19000001904</t>
  </si>
  <si>
    <t>19000001905</t>
  </si>
  <si>
    <t>19000001906</t>
  </si>
  <si>
    <t>19000001907</t>
  </si>
  <si>
    <t>19000001908</t>
  </si>
  <si>
    <t>19000001909</t>
  </si>
  <si>
    <t>19000001910</t>
  </si>
  <si>
    <t>19000001911</t>
  </si>
  <si>
    <t>19000001912</t>
  </si>
  <si>
    <t>19000001913</t>
  </si>
  <si>
    <t>19000001914</t>
  </si>
  <si>
    <t>19000001915</t>
  </si>
  <si>
    <t>19000001916</t>
  </si>
  <si>
    <t>19000001917</t>
  </si>
  <si>
    <t>19000001918</t>
  </si>
  <si>
    <t>19000001919</t>
  </si>
  <si>
    <t>19000001920</t>
  </si>
  <si>
    <t>19000001921</t>
  </si>
  <si>
    <t>19000001922</t>
  </si>
  <si>
    <t>19000001923</t>
  </si>
  <si>
    <t>19000001924</t>
  </si>
  <si>
    <t>19000001925</t>
  </si>
  <si>
    <t>19000001926</t>
  </si>
  <si>
    <t>19000001927</t>
  </si>
  <si>
    <t>19000001836</t>
  </si>
  <si>
    <t>19000001837</t>
  </si>
  <si>
    <t>19000001936</t>
  </si>
  <si>
    <t>19000001937</t>
  </si>
  <si>
    <t>19000001938</t>
  </si>
  <si>
    <t>19000001939</t>
  </si>
  <si>
    <t>19000001970</t>
  </si>
  <si>
    <t>19000001971</t>
  </si>
  <si>
    <t>19000001972</t>
  </si>
  <si>
    <t>19000001973</t>
  </si>
  <si>
    <t>19000001974</t>
  </si>
  <si>
    <t>19000001975</t>
  </si>
  <si>
    <t>19000001839</t>
  </si>
  <si>
    <t>19000001976</t>
  </si>
  <si>
    <t>19000001977</t>
  </si>
  <si>
    <t>19000001978</t>
  </si>
  <si>
    <t>19000001979</t>
  </si>
  <si>
    <t>19000001835</t>
  </si>
  <si>
    <t>19000001841</t>
  </si>
  <si>
    <t>19000002075</t>
  </si>
  <si>
    <t>19000002076</t>
  </si>
  <si>
    <t>19000002077</t>
  </si>
  <si>
    <t>19000002078</t>
  </si>
  <si>
    <t>19000002118</t>
  </si>
  <si>
    <t>19000002119</t>
  </si>
  <si>
    <t>19000002120</t>
  </si>
  <si>
    <t>19000002121</t>
  </si>
  <si>
    <t>19000002122</t>
  </si>
  <si>
    <t>19000002123</t>
  </si>
  <si>
    <t>19000002124</t>
  </si>
  <si>
    <t>19000002125</t>
  </si>
  <si>
    <t>19000002126</t>
  </si>
  <si>
    <t>19000002127</t>
  </si>
  <si>
    <t>19000002128</t>
  </si>
  <si>
    <t>19000002129</t>
  </si>
  <si>
    <t>19000002130</t>
  </si>
  <si>
    <t>19000002131</t>
  </si>
  <si>
    <t>19000002132</t>
  </si>
  <si>
    <t>19000002133</t>
  </si>
  <si>
    <t>19000002135</t>
  </si>
  <si>
    <t>19000002136</t>
  </si>
  <si>
    <t>19000002137</t>
  </si>
  <si>
    <t>19000002138</t>
  </si>
  <si>
    <t>19000002139</t>
  </si>
  <si>
    <t>INDICADOR</t>
  </si>
  <si>
    <t>VALOR</t>
  </si>
  <si>
    <t>Data</t>
  </si>
  <si>
    <t>Planejado ordens</t>
  </si>
  <si>
    <t>Realizado</t>
  </si>
  <si>
    <t>Backlog</t>
  </si>
  <si>
    <t>Qtd</t>
  </si>
  <si>
    <t>Motivo</t>
  </si>
  <si>
    <t>Produção Planejada</t>
  </si>
  <si>
    <t>Falta de material</t>
  </si>
  <si>
    <t>Produção Realizada</t>
  </si>
  <si>
    <t>Máquina parada</t>
  </si>
  <si>
    <t>Aderência ao Plano</t>
  </si>
  <si>
    <t>OPs em Aberto</t>
  </si>
  <si>
    <t>Falta de operador</t>
  </si>
  <si>
    <t>OPs Encerradas</t>
  </si>
  <si>
    <t>Ajustes de processo</t>
  </si>
  <si>
    <t>OPs Atrasadas</t>
  </si>
  <si>
    <t>Falta Apontamento</t>
  </si>
  <si>
    <t>Cumprimento de Prazo</t>
  </si>
  <si>
    <t>Fill Rate</t>
  </si>
  <si>
    <t>OPs Liberadas</t>
  </si>
  <si>
    <t>OPs Em Produção</t>
  </si>
  <si>
    <t>OPs Aguardando Material</t>
  </si>
  <si>
    <t>Liberada</t>
  </si>
  <si>
    <t>Aguardando Material</t>
  </si>
  <si>
    <t>Aguardando Qualidade</t>
  </si>
  <si>
    <t>Encerrada</t>
  </si>
  <si>
    <t>=CONT.SE(BASE_OP[Modelo Chassi];H3)</t>
  </si>
  <si>
    <t>=SEERRO(</t>
  </si>
  <si>
    <t>CONT.VALORES(ÚNICO(FILTRO(BASE_OP!$A$2:$A$9916;</t>
  </si>
  <si>
    <t>(BASE_OP!$H$2:$H$9916&lt;&gt;"")*</t>
  </si>
  <si>
    <t>(BASE_OP!$H$2:$H$9916&lt;=BASE_OP!$G$2:$G$9916)*</t>
  </si>
  <si>
    <t>(BASE_OP!$A$2:$A$9916&lt;&gt;"")*</t>
  </si>
  <si>
    <t>SE(DASHBOARD!$H$3="Todos";1;BASE_OP!$C$2:$C$9916=DASHBOARD!$H$3)</t>
  </si>
  <si>
    <t>)))</t>
  </si>
  <si>
    <t>/</t>
  </si>
  <si>
    <t>)));</t>
  </si>
  <si>
    <t>0)</t>
  </si>
  <si>
    <t>ORDENS PLANEJADA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</si>
</sst>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21"/>
      <color rgb="FF17365D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7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1" fillId="0" borderId="0"/>
  </cellStyleXfs>
  <cellXfs count="37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14" fontId="10" fillId="0" borderId="0" xfId="0" applyNumberFormat="1" applyFont="1" applyAlignment="1">
      <alignment vertical="top"/>
    </xf>
    <xf numFmtId="0" fontId="0" fillId="10" borderId="0" xfId="0" applyFill="1"/>
    <xf numFmtId="9" fontId="0" fillId="0" borderId="0" xfId="1" applyFont="1"/>
    <xf numFmtId="0" fontId="0" fillId="0" borderId="0" xfId="0" pivotButton="1"/>
    <xf numFmtId="22" fontId="12" fillId="0" borderId="0" xfId="0" applyNumberFormat="1" applyFont="1"/>
    <xf numFmtId="9" fontId="11" fillId="0" borderId="0" xfId="1"/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top"/>
    </xf>
    <xf numFmtId="14" fontId="13" fillId="0" borderId="0" xfId="0" applyNumberFormat="1" applyFont="1" applyAlignment="1">
      <alignment horizontal="center" vertical="top"/>
    </xf>
    <xf numFmtId="0" fontId="0" fillId="0" borderId="0" xfId="0" applyFill="1" applyAlignment="1">
      <alignment horizontal="center"/>
    </xf>
    <xf numFmtId="0" fontId="0" fillId="0" borderId="0" xfId="0" applyAlignment="1">
      <alignment vertical="top"/>
    </xf>
    <xf numFmtId="0" fontId="6" fillId="10" borderId="0" xfId="0" applyFont="1" applyFill="1" applyAlignment="1">
      <alignment horizontal="center"/>
    </xf>
    <xf numFmtId="0" fontId="0" fillId="10" borderId="0" xfId="0" applyFill="1"/>
    <xf numFmtId="1" fontId="7" fillId="0" borderId="0" xfId="0" applyNumberFormat="1" applyFont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  <xf numFmtId="0" fontId="0" fillId="9" borderId="0" xfId="0" applyFill="1"/>
    <xf numFmtId="9" fontId="4" fillId="6" borderId="0" xfId="1" applyFont="1" applyFill="1" applyAlignment="1">
      <alignment horizontal="center"/>
    </xf>
    <xf numFmtId="0" fontId="0" fillId="6" borderId="0" xfId="0" applyFill="1"/>
    <xf numFmtId="0" fontId="1" fillId="2" borderId="0" xfId="0" applyFont="1" applyFill="1" applyAlignment="1">
      <alignment horizontal="center"/>
    </xf>
    <xf numFmtId="0" fontId="0" fillId="7" borderId="0" xfId="0" applyFill="1"/>
    <xf numFmtId="1" fontId="4" fillId="6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9" fontId="4" fillId="6" borderId="0" xfId="0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pivotSource>
    <c:name>[Modelo_KPI_Producao_PCP ATUALIZADO.xlsx]Planilha2!Tabela dinâmica5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Modelo Chassi</a:t>
            </a:r>
          </a:p>
        </c:rich>
      </c:tx>
      <c:layout>
        <c:manualLayout>
          <c:xMode val="edge"/>
          <c:yMode val="edge"/>
          <c:x val="0.41203382910469522"/>
          <c:y val="0.12397929425488481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vert="horz"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214525327000435"/>
          <c:y val="0.18213093825380591"/>
          <c:w val="0.52526624290227097"/>
          <c:h val="0.71098511878956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Planilha2!$A$4:$A$7</c:f>
              <c:strCache>
                <c:ptCount val="4"/>
                <c:pt idx="0">
                  <c:v>BC22S02-6800100_BANCO MOT CHASSI</c:v>
                </c:pt>
                <c:pt idx="1">
                  <c:v>BYD6121BC4BEVF1S_CHASSIS BC12S03</c:v>
                </c:pt>
                <c:pt idx="2">
                  <c:v>CHASSIS ELECTRIC BUS BC22S02</c:v>
                </c:pt>
                <c:pt idx="3">
                  <c:v>CHASSIS ONIBUS ELETRICO BC10S01</c:v>
                </c:pt>
              </c:strCache>
            </c:strRef>
          </c:cat>
          <c:val>
            <c:numRef>
              <c:f>Planilha2!$B$4:$B$7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C-48F2-835B-09F3DECCE5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44478191"/>
        <c:axId val="1244472431"/>
      </c:barChart>
      <c:catAx>
        <c:axId val="124447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244472431"/>
        <c:crosses val="autoZero"/>
        <c:auto val="1"/>
        <c:lblAlgn val="ctr"/>
        <c:lblOffset val="100"/>
        <c:noMultiLvlLbl val="0"/>
      </c:catAx>
      <c:valAx>
        <c:axId val="124447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244478191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vert="horz"/>
          <a:lstStyle/>
          <a:p>
            <a:pPr>
              <a:defRPr/>
            </a:pPr>
            <a:r>
              <a:rPr lang="pt-BR"/>
              <a:t>OPs por Status</a:t>
            </a:r>
          </a:p>
        </c:rich>
      </c:tx>
      <c:layout>
        <c:manualLayout>
          <c:xMode val="edge"/>
          <c:yMode val="edge"/>
          <c:x val="8.9141228171965223E-4"/>
          <c:y val="1.9745059867850641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8354956668481122E-2"/>
          <c:y val="0.14386052155232429"/>
          <c:w val="0.62238888888888888"/>
          <c:h val="0.8891269841269841"/>
        </c:manualLayout>
      </c:layout>
      <c:pieChart>
        <c:varyColors val="1"/>
        <c:ser>
          <c:idx val="0"/>
          <c:order val="0"/>
          <c:tx>
            <c:strRef>
              <c:f>CALCULOS!$J$1</c:f>
              <c:strCache>
                <c:ptCount val="1"/>
                <c:pt idx="0">
                  <c:v>Qtd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C643-40BD-A994-4CBBC2D500F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C643-40BD-A994-4CBBC2D500F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C643-40BD-A994-4CBBC2D500F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C643-40BD-A994-4CBBC2D500F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C643-40BD-A994-4CBBC2D500F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C643-40BD-A994-4CBBC2D500FD}"/>
              </c:ext>
            </c:extLst>
          </c:dPt>
          <c:dLbls>
            <c:spPr>
              <a:noFill/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CALCULOS!$I$2:$I$7</c:f>
              <c:strCache>
                <c:ptCount val="6"/>
                <c:pt idx="0">
                  <c:v>Liberada</c:v>
                </c:pt>
                <c:pt idx="1">
                  <c:v>Em Produção</c:v>
                </c:pt>
                <c:pt idx="2">
                  <c:v>Aguardando Material</c:v>
                </c:pt>
                <c:pt idx="3">
                  <c:v>Aguardando Qualidade</c:v>
                </c:pt>
                <c:pt idx="4">
                  <c:v>Parada</c:v>
                </c:pt>
                <c:pt idx="5">
                  <c:v>Encerrada</c:v>
                </c:pt>
              </c:strCache>
            </c:strRef>
          </c:cat>
          <c:val>
            <c:numRef>
              <c:f>CALCULOS!$J$2:$J$7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31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43-40BD-A994-4CBBC2D500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1375063546142061"/>
          <c:y val="0.5897154562471304"/>
          <c:w val="0.38624931318258171"/>
          <c:h val="0.39936804201852349"/>
        </c:manualLayout>
      </c:layout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Backlog ao longo dos dias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CALCULOS!$G$1</c:f>
              <c:strCache>
                <c:ptCount val="1"/>
                <c:pt idx="0">
                  <c:v>Backlog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6650-47B9-B5B5-41F76DC17213}"/>
              </c:ext>
            </c:extLst>
          </c:dPt>
          <c:dPt>
            <c:idx val="1"/>
            <c:bubble3D val="0"/>
            <c:spPr>
              <a:ln w="28575" cap="rnd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6650-47B9-B5B5-41F76DC17213}"/>
              </c:ext>
            </c:extLst>
          </c:dPt>
          <c:dPt>
            <c:idx val="2"/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6650-47B9-B5B5-41F76DC17213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6650-47B9-B5B5-41F76DC17213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6650-47B9-B5B5-41F76DC17213}"/>
              </c:ext>
            </c:extLst>
          </c:dPt>
          <c:dPt>
            <c:idx val="5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6650-47B9-B5B5-41F76DC17213}"/>
              </c:ext>
            </c:extLst>
          </c:dPt>
          <c:dPt>
            <c:idx val="6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6650-47B9-B5B5-41F76DC17213}"/>
              </c:ext>
            </c:extLst>
          </c:dPt>
          <c:dPt>
            <c:idx val="7"/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6650-47B9-B5B5-41F76DC17213}"/>
              </c:ext>
            </c:extLst>
          </c:dPt>
          <c:dPt>
            <c:idx val="8"/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6650-47B9-B5B5-41F76DC17213}"/>
              </c:ext>
            </c:extLst>
          </c:dPt>
          <c:dPt>
            <c:idx val="9"/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6650-47B9-B5B5-41F76DC17213}"/>
              </c:ext>
            </c:extLst>
          </c:dPt>
          <c:cat>
            <c:numRef>
              <c:f>CALCULOS!$D$2:$D$11</c:f>
              <c:numCache>
                <c:formatCode>m/d/yyyy</c:formatCode>
                <c:ptCount val="10"/>
                <c:pt idx="0">
                  <c:v>46205</c:v>
                </c:pt>
                <c:pt idx="1">
                  <c:v>46205</c:v>
                </c:pt>
                <c:pt idx="2">
                  <c:v>46205</c:v>
                </c:pt>
                <c:pt idx="3">
                  <c:v>46234</c:v>
                </c:pt>
                <c:pt idx="4">
                  <c:v>46234</c:v>
                </c:pt>
                <c:pt idx="5">
                  <c:v>46234</c:v>
                </c:pt>
                <c:pt idx="6">
                  <c:v>46234</c:v>
                </c:pt>
                <c:pt idx="7">
                  <c:v>46234</c:v>
                </c:pt>
                <c:pt idx="8">
                  <c:v>46234</c:v>
                </c:pt>
                <c:pt idx="9">
                  <c:v>46234</c:v>
                </c:pt>
              </c:numCache>
            </c:numRef>
          </c:cat>
          <c:val>
            <c:numRef>
              <c:f>CALCULOS!$G$2:$G$11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650-47B9-B5B5-41F76DC17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Unidades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vert="horz"/>
          <a:lstStyle/>
          <a:p>
            <a:pPr>
              <a:defRPr/>
            </a:pPr>
            <a:r>
              <a:rPr lang="pt-BR"/>
              <a:t>Motivos dos atrasos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CALCULOS!$M$1</c:f>
              <c:strCache>
                <c:ptCount val="1"/>
                <c:pt idx="0">
                  <c:v>Qtd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52-48CE-9357-F1C525F360F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52-48CE-9357-F1C525F360F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52-48CE-9357-F1C525F360F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52-48CE-9357-F1C525F360F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52-48CE-9357-F1C525F360F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B52-48CE-9357-F1C525F360F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B52-48CE-9357-F1C525F360F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CALCULOS!$L$2:$L$8</c:f>
              <c:strCache>
                <c:ptCount val="7"/>
                <c:pt idx="0">
                  <c:v>Falta de material</c:v>
                </c:pt>
                <c:pt idx="1">
                  <c:v>Máquina parada</c:v>
                </c:pt>
                <c:pt idx="2">
                  <c:v>Manutenção</c:v>
                </c:pt>
                <c:pt idx="3">
                  <c:v>Problemas de qualidade</c:v>
                </c:pt>
                <c:pt idx="4">
                  <c:v>Falta de operador</c:v>
                </c:pt>
                <c:pt idx="5">
                  <c:v>Ajustes de processo</c:v>
                </c:pt>
                <c:pt idx="6">
                  <c:v>Falta Apontamento</c:v>
                </c:pt>
              </c:strCache>
            </c:strRef>
          </c:cat>
          <c:val>
            <c:numRef>
              <c:f>CALCULOS!$M$2:$M$8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52-48CE-9357-F1C525F360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11</xdr:row>
      <xdr:rowOff>55563</xdr:rowOff>
    </xdr:from>
    <xdr:to>
      <xdr:col>4</xdr:col>
      <xdr:colOff>857251</xdr:colOff>
      <xdr:row>26</xdr:row>
      <xdr:rowOff>60325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592666</xdr:colOff>
      <xdr:row>11</xdr:row>
      <xdr:rowOff>87310</xdr:rowOff>
    </xdr:from>
    <xdr:ext cx="5027084" cy="27146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119064</xdr:colOff>
      <xdr:row>27</xdr:row>
      <xdr:rowOff>126118</xdr:rowOff>
    </xdr:from>
    <xdr:ext cx="4794249" cy="289013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383115</xdr:colOff>
      <xdr:row>27</xdr:row>
      <xdr:rowOff>63501</xdr:rowOff>
    </xdr:from>
    <xdr:ext cx="5220760" cy="3008312"/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lidiafernandes@byd.com" refreshedDate="46248.567380439817" createdVersion="8" refreshedVersion="8" minRefreshableVersion="3" recordCount="500" xr:uid="{00000000-000A-0000-FFFF-FFFF09000000}">
  <cacheSource type="worksheet">
    <worksheetSource name="TabelaOP"/>
  </cacheSource>
  <cacheFields count="14">
    <cacheField name="OP" numFmtId="0">
      <sharedItems containsBlank="1" containsMixedTypes="1" containsNumber="1" containsInteger="1" minValue="19000001688" maxValue="19000001688"/>
    </cacheField>
    <cacheField name="Material" numFmtId="0">
      <sharedItems containsBlank="1"/>
    </cacheField>
    <cacheField name="Modelo" numFmtId="0">
      <sharedItems containsBlank="1" count="5">
        <s v="CHASSIS ELECTRIC BUS BC22S02"/>
        <s v="CHASSIS ONIBUS ELETRICO BC10S01"/>
        <s v="BC22S02-6800100_BANCO MOT CHASSI"/>
        <s v="BYD6121BC4BEVF1S_CHASSIS BC12S03"/>
        <m/>
      </sharedItems>
    </cacheField>
    <cacheField name="Qtd. Planejada" numFmtId="0">
      <sharedItems containsString="0" containsBlank="1" containsNumber="1" containsInteger="1" minValue="1" maxValue="220"/>
    </cacheField>
    <cacheField name="Qtd. Fornecida" numFmtId="0">
      <sharedItems containsString="0" containsBlank="1" containsNumber="1" containsInteger="1" minValue="0" maxValue="220"/>
    </cacheField>
    <cacheField name="Qtd. Produzida" numFmtId="0">
      <sharedItems containsString="0" containsBlank="1" containsNumber="1" containsInteger="1" minValue="0" maxValue="220"/>
    </cacheField>
    <cacheField name="Data Planejada" numFmtId="14">
      <sharedItems containsNonDate="0" containsDate="1" containsString="0" containsBlank="1" minDate="2026-07-02T00:00:00" maxDate="2026-09-01T00:00:00"/>
    </cacheField>
    <cacheField name="Data de conclusão base" numFmtId="14">
      <sharedItems containsNonDate="0" containsDate="1" containsString="0" containsBlank="1" minDate="2026-07-03T00:00:00" maxDate="2026-09-01T00:00:00"/>
    </cacheField>
    <cacheField name="Status" numFmtId="0">
      <sharedItems containsBlank="1"/>
    </cacheField>
    <cacheField name="Data de entrada" numFmtId="0">
      <sharedItems containsNonDate="0" containsDate="1" containsString="0" containsBlank="1" minDate="2026-06-09T00:00:00" maxDate="2026-08-11T00:00:00"/>
    </cacheField>
    <cacheField name="Motivo do Atraso" numFmtId="0">
      <sharedItems containsBlank="1"/>
    </cacheField>
    <cacheField name="Dias de Atraso" numFmtId="0">
      <sharedItems containsNonDate="0" containsString="0" containsBlank="1"/>
    </cacheField>
    <cacheField name="Aderência" numFmtId="10">
      <sharedItems containsString="0" containsBlank="1" containsNumber="1" containsInteger="1" minValue="0" maxValue="1"/>
    </cacheField>
    <cacheField name="Fechada/ Aber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">
  <r>
    <n v="19000001688"/>
    <s v="19006834-00"/>
    <x v="0"/>
    <n v="1"/>
    <n v="1"/>
    <n v="1"/>
    <d v="2026-07-02T00:00:00"/>
    <d v="2026-07-03T00:00:00"/>
    <s v="Ordem apontada em aberto"/>
    <d v="2026-06-09T00:00:00"/>
    <s v="Manutenção"/>
    <m/>
    <n v="1"/>
    <s v="Em aberto"/>
  </r>
  <r>
    <s v="19000001689"/>
    <s v="19006834-00"/>
    <x v="0"/>
    <n v="1"/>
    <n v="1"/>
    <n v="1"/>
    <d v="2026-07-02T00:00:00"/>
    <d v="2026-07-03T00:00:00"/>
    <s v="Ordem apontada em aberto"/>
    <d v="2026-06-10T00:00:00"/>
    <s v="Manutenção"/>
    <m/>
    <n v="1"/>
    <s v="Em aberto"/>
  </r>
  <r>
    <s v="19000001690"/>
    <s v="19006834-00"/>
    <x v="0"/>
    <n v="1"/>
    <n v="1"/>
    <n v="1"/>
    <d v="2026-07-02T00:00:00"/>
    <d v="2026-07-03T00:00:00"/>
    <s v="Ordem apontada em aberto"/>
    <d v="2026-06-10T00:00:00"/>
    <s v="Manutenção"/>
    <m/>
    <n v="1"/>
    <s v="Em aberto"/>
  </r>
  <r>
    <s v="19000001790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791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792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793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794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795"/>
    <s v="19903843-00"/>
    <x v="1"/>
    <n v="1"/>
    <n v="1"/>
    <n v="1"/>
    <d v="2026-07-31T00:00:00"/>
    <d v="2026-07-31T00:00:00"/>
    <s v="Ordem apontada em aberto"/>
    <d v="2026-06-23T00:00:00"/>
    <s v="-"/>
    <m/>
    <n v="1"/>
    <s v="Em aberto"/>
  </r>
  <r>
    <s v="19000001832"/>
    <s v="19903843-00"/>
    <x v="1"/>
    <n v="1"/>
    <n v="1"/>
    <n v="1"/>
    <d v="2026-07-31T00:00:00"/>
    <d v="2026-07-31T00:00:00"/>
    <s v="Ordem apontada em aberto"/>
    <d v="2026-07-16T00:00:00"/>
    <s v="-"/>
    <m/>
    <n v="1"/>
    <s v="Em aberto"/>
  </r>
  <r>
    <s v="19000001842"/>
    <s v="19903843-00"/>
    <x v="1"/>
    <n v="1"/>
    <n v="1"/>
    <n v="1"/>
    <d v="2026-07-31T00:00:00"/>
    <d v="2026-07-31T00:00:00"/>
    <s v="Ordem apontada em aberto"/>
    <d v="2026-07-16T00:00:00"/>
    <s v="-"/>
    <m/>
    <n v="1"/>
    <s v="Em aberto"/>
  </r>
  <r>
    <s v="19000002032"/>
    <s v="19144528-00"/>
    <x v="2"/>
    <n v="220"/>
    <n v="220"/>
    <n v="220"/>
    <d v="2026-08-03T00:00:00"/>
    <d v="2026-08-03T00:00:00"/>
    <s v="Ordem apontada em aberto"/>
    <d v="2026-08-03T00:00:00"/>
    <s v="-"/>
    <m/>
    <n v="1"/>
    <s v="Em aberto"/>
  </r>
  <r>
    <s v="19000001838"/>
    <s v="19903843-00"/>
    <x v="1"/>
    <n v="1"/>
    <n v="1"/>
    <n v="1"/>
    <d v="2026-08-03T00:00:00"/>
    <d v="2026-08-03T00:00:00"/>
    <s v="Ordem apontada em aberto"/>
    <d v="2026-07-16T00:00:00"/>
    <s v="-"/>
    <m/>
    <n v="1"/>
    <s v="Em aberto"/>
  </r>
  <r>
    <s v="19000001886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87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88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89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90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91"/>
    <s v="19903843-00"/>
    <x v="1"/>
    <n v="1"/>
    <n v="1"/>
    <n v="1"/>
    <d v="2026-08-03T00:00:00"/>
    <d v="2026-08-03T00:00:00"/>
    <s v="Ordem apontada em aberto"/>
    <d v="2026-07-23T00:00:00"/>
    <s v="-"/>
    <m/>
    <n v="1"/>
    <s v="Em aberto"/>
  </r>
  <r>
    <s v="19000001892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3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4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5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6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7"/>
    <s v="19903843-00"/>
    <x v="1"/>
    <n v="1"/>
    <n v="1"/>
    <n v="1"/>
    <d v="2026-08-04T00:00:00"/>
    <d v="2026-08-04T00:00:00"/>
    <s v="Ordem apontada em aberto"/>
    <d v="2026-07-23T00:00:00"/>
    <s v="-"/>
    <m/>
    <n v="1"/>
    <s v="Em aberto"/>
  </r>
  <r>
    <s v="19000001898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899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900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901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902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903"/>
    <s v="19903843-00"/>
    <x v="1"/>
    <n v="1"/>
    <n v="1"/>
    <n v="1"/>
    <d v="2026-08-05T00:00:00"/>
    <d v="2026-08-05T00:00:00"/>
    <s v="Ordem apontada em aberto"/>
    <d v="2026-07-23T00:00:00"/>
    <s v="-"/>
    <m/>
    <n v="1"/>
    <s v="Em aberto"/>
  </r>
  <r>
    <s v="19000001969"/>
    <s v="20983890-00"/>
    <x v="3"/>
    <n v="1"/>
    <n v="1"/>
    <n v="1"/>
    <d v="2026-08-05T00:00:00"/>
    <d v="2026-08-05T00:00:00"/>
    <s v="Ordem apontada em aberto"/>
    <d v="2026-07-30T00:00:00"/>
    <s v="-"/>
    <m/>
    <n v="1"/>
    <s v="Em aberto"/>
  </r>
  <r>
    <s v="19000001904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05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06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07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08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09"/>
    <s v="19903843-00"/>
    <x v="1"/>
    <n v="1"/>
    <n v="1"/>
    <n v="1"/>
    <d v="2026-08-06T00:00:00"/>
    <d v="2026-08-06T00:00:00"/>
    <s v="Ordem apontada em aberto"/>
    <d v="2026-07-23T00:00:00"/>
    <s v="-"/>
    <m/>
    <n v="1"/>
    <s v="Em aberto"/>
  </r>
  <r>
    <s v="19000001910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1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2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3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4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5"/>
    <s v="19903843-00"/>
    <x v="1"/>
    <n v="1"/>
    <n v="1"/>
    <n v="1"/>
    <d v="2026-08-07T00:00:00"/>
    <d v="2026-08-07T00:00:00"/>
    <s v="Ordem apontada em aberto"/>
    <d v="2026-07-23T00:00:00"/>
    <s v="-"/>
    <m/>
    <n v="1"/>
    <s v="Em aberto"/>
  </r>
  <r>
    <s v="19000001916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17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18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19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20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21"/>
    <s v="19903843-00"/>
    <x v="1"/>
    <n v="1"/>
    <n v="1"/>
    <n v="1"/>
    <d v="2026-08-10T00:00:00"/>
    <d v="2026-08-10T00:00:00"/>
    <s v="Ordem apontada em aberto"/>
    <d v="2026-07-23T00:00:00"/>
    <s v="-"/>
    <m/>
    <n v="1"/>
    <s v="Em aberto"/>
  </r>
  <r>
    <s v="19000001922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923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924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925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926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927"/>
    <s v="19903843-00"/>
    <x v="1"/>
    <n v="1"/>
    <n v="1"/>
    <n v="1"/>
    <d v="2026-08-11T00:00:00"/>
    <d v="2026-08-11T00:00:00"/>
    <s v="Ordem apontada em aberto"/>
    <d v="2026-07-23T00:00:00"/>
    <s v="-"/>
    <m/>
    <n v="1"/>
    <s v="Em aberto"/>
  </r>
  <r>
    <s v="19000001836"/>
    <s v="19903843-00"/>
    <x v="1"/>
    <n v="1"/>
    <n v="0"/>
    <n v="0"/>
    <d v="2026-08-13T00:00:00"/>
    <d v="2026-08-13T00:00:00"/>
    <s v="Aguardando apontamento em aberta"/>
    <d v="2026-07-16T00:00:00"/>
    <s v="-"/>
    <m/>
    <n v="0"/>
    <s v="Em aberto"/>
  </r>
  <r>
    <s v="19000001837"/>
    <s v="19903843-00"/>
    <x v="1"/>
    <n v="1"/>
    <n v="1"/>
    <n v="1"/>
    <d v="2026-08-13T00:00:00"/>
    <d v="2026-08-13T00:00:00"/>
    <s v="Ordem apontada em aberto"/>
    <d v="2026-07-16T00:00:00"/>
    <s v="-"/>
    <m/>
    <n v="1"/>
    <s v="Em aberto"/>
  </r>
  <r>
    <s v="19000001936"/>
    <s v="19903843-00"/>
    <x v="1"/>
    <n v="1"/>
    <n v="0"/>
    <n v="0"/>
    <d v="2026-08-13T00:00:00"/>
    <d v="2026-08-13T00:00:00"/>
    <s v="Aguardando apontamento em aberta"/>
    <d v="2026-07-24T00:00:00"/>
    <s v="-"/>
    <m/>
    <n v="0"/>
    <s v="Em aberto"/>
  </r>
  <r>
    <s v="19000001937"/>
    <s v="19903843-00"/>
    <x v="1"/>
    <n v="1"/>
    <n v="0"/>
    <n v="0"/>
    <d v="2026-08-13T00:00:00"/>
    <d v="2026-08-13T00:00:00"/>
    <s v="Aguardando apontamento em aberta"/>
    <d v="2026-07-24T00:00:00"/>
    <s v="-"/>
    <m/>
    <n v="0"/>
    <s v="Em aberto"/>
  </r>
  <r>
    <s v="19000001938"/>
    <s v="19903843-00"/>
    <x v="1"/>
    <n v="1"/>
    <n v="0"/>
    <n v="0"/>
    <d v="2026-08-13T00:00:00"/>
    <d v="2026-08-13T00:00:00"/>
    <s v="Aguardando apontamento em aberta"/>
    <d v="2026-07-24T00:00:00"/>
    <s v="-"/>
    <m/>
    <n v="0"/>
    <s v="Em aberto"/>
  </r>
  <r>
    <s v="19000001939"/>
    <s v="19903843-00"/>
    <x v="1"/>
    <n v="1"/>
    <n v="0"/>
    <n v="0"/>
    <d v="2026-08-13T00:00:00"/>
    <d v="2026-08-13T00:00:00"/>
    <s v="Aguardando apontamento em aberta"/>
    <d v="2026-07-24T00:00:00"/>
    <s v="-"/>
    <m/>
    <n v="0"/>
    <s v="Em aberto"/>
  </r>
  <r>
    <s v="19000001970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971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972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973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974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975"/>
    <s v="19903843-00"/>
    <x v="1"/>
    <n v="1"/>
    <n v="0"/>
    <n v="0"/>
    <d v="2026-08-14T00:00:00"/>
    <d v="2026-08-14T00:00:00"/>
    <s v="Em Produção"/>
    <d v="2026-08-03T00:00:00"/>
    <s v="-"/>
    <m/>
    <n v="0"/>
    <s v="Em aberto"/>
  </r>
  <r>
    <s v="19000001839"/>
    <s v="19903843-00"/>
    <x v="1"/>
    <n v="1"/>
    <n v="1"/>
    <n v="1"/>
    <d v="2026-08-17T00:00:00"/>
    <d v="2026-08-17T00:00:00"/>
    <s v="Ordem apontada em aberto"/>
    <d v="2026-07-16T00:00:00"/>
    <s v="-"/>
    <m/>
    <n v="1"/>
    <s v="Em aberto"/>
  </r>
  <r>
    <s v="19000001976"/>
    <s v="19903843-00"/>
    <x v="1"/>
    <n v="1"/>
    <n v="0"/>
    <n v="0"/>
    <d v="2026-08-17T00:00:00"/>
    <d v="2026-08-17T00:00:00"/>
    <s v="Parada"/>
    <d v="2026-08-03T00:00:00"/>
    <s v="-"/>
    <m/>
    <n v="0"/>
    <s v="Em aberto"/>
  </r>
  <r>
    <s v="19000001977"/>
    <s v="19903843-00"/>
    <x v="1"/>
    <n v="1"/>
    <n v="0"/>
    <n v="0"/>
    <d v="2026-08-17T00:00:00"/>
    <d v="2026-08-17T00:00:00"/>
    <s v="Parada"/>
    <d v="2026-08-03T00:00:00"/>
    <s v="-"/>
    <m/>
    <n v="0"/>
    <s v="Em aberto"/>
  </r>
  <r>
    <s v="19000001978"/>
    <s v="19903843-00"/>
    <x v="1"/>
    <n v="1"/>
    <n v="0"/>
    <n v="0"/>
    <d v="2026-08-17T00:00:00"/>
    <d v="2026-08-17T00:00:00"/>
    <s v="Parada"/>
    <d v="2026-08-03T00:00:00"/>
    <s v="-"/>
    <m/>
    <n v="0"/>
    <s v="Em aberto"/>
  </r>
  <r>
    <s v="19000001979"/>
    <s v="19903843-00"/>
    <x v="1"/>
    <n v="1"/>
    <n v="0"/>
    <n v="0"/>
    <d v="2026-08-17T00:00:00"/>
    <d v="2026-08-17T00:00:00"/>
    <s v="Parada"/>
    <d v="2026-08-03T00:00:00"/>
    <s v="-"/>
    <m/>
    <n v="0"/>
    <s v="Em aberto"/>
  </r>
  <r>
    <s v="19000001835"/>
    <s v="19903843-00"/>
    <x v="1"/>
    <n v="1"/>
    <n v="0"/>
    <n v="0"/>
    <d v="2026-08-18T00:00:00"/>
    <d v="2026-08-18T00:00:00"/>
    <s v="Parada"/>
    <d v="2026-07-16T00:00:00"/>
    <s v="-"/>
    <m/>
    <n v="0"/>
    <s v="Em aberto"/>
  </r>
  <r>
    <s v="19000001841"/>
    <s v="19903843-00"/>
    <x v="1"/>
    <n v="1"/>
    <n v="0"/>
    <n v="0"/>
    <d v="2026-08-18T00:00:00"/>
    <d v="2026-08-18T00:00:00"/>
    <s v="Parada"/>
    <d v="2026-07-16T00:00:00"/>
    <s v="-"/>
    <m/>
    <n v="0"/>
    <s v="Em aberto"/>
  </r>
  <r>
    <s v="19000002075"/>
    <s v="19006834-00"/>
    <x v="0"/>
    <n v="1"/>
    <n v="0"/>
    <n v="0"/>
    <d v="2026-08-20T00:00:00"/>
    <d v="2026-08-20T00:00:00"/>
    <s v="Parada"/>
    <d v="2026-08-05T00:00:00"/>
    <s v="-"/>
    <m/>
    <n v="0"/>
    <s v="Em aberto"/>
  </r>
  <r>
    <s v="19000002076"/>
    <s v="19006834-00"/>
    <x v="0"/>
    <n v="1"/>
    <n v="0"/>
    <n v="0"/>
    <d v="2026-08-21T00:00:00"/>
    <d v="2026-08-21T00:00:00"/>
    <s v="Parada"/>
    <d v="2026-08-05T00:00:00"/>
    <s v="-"/>
    <m/>
    <n v="0"/>
    <s v="Em aberto"/>
  </r>
  <r>
    <s v="19000002077"/>
    <s v="19006834-00"/>
    <x v="0"/>
    <n v="1"/>
    <n v="0"/>
    <n v="0"/>
    <d v="2026-08-21T00:00:00"/>
    <d v="2026-08-21T00:00:00"/>
    <s v="Parada"/>
    <d v="2026-08-05T00:00:00"/>
    <s v="-"/>
    <m/>
    <n v="0"/>
    <s v="Em aberto"/>
  </r>
  <r>
    <s v="19000002078"/>
    <s v="19006834-00"/>
    <x v="0"/>
    <n v="1"/>
    <n v="0"/>
    <n v="0"/>
    <d v="2026-08-21T00:00:00"/>
    <d v="2026-08-21T00:00:00"/>
    <s v="Parada"/>
    <d v="2026-08-05T00:00:00"/>
    <s v="-"/>
    <m/>
    <n v="0"/>
    <s v="Em aberto"/>
  </r>
  <r>
    <s v="19000002118"/>
    <s v="19006834-00"/>
    <x v="0"/>
    <n v="1"/>
    <n v="0"/>
    <n v="0"/>
    <d v="2026-08-21T00:00:00"/>
    <d v="2026-08-21T00:00:00"/>
    <s v="Parada"/>
    <d v="2026-08-10T00:00:00"/>
    <s v="-"/>
    <m/>
    <n v="0"/>
    <s v="Em aberto"/>
  </r>
  <r>
    <s v="19000002119"/>
    <s v="19006834-00"/>
    <x v="0"/>
    <n v="1"/>
    <n v="0"/>
    <n v="0"/>
    <d v="2026-08-24T00:00:00"/>
    <d v="2026-08-24T00:00:00"/>
    <s v="Parada"/>
    <d v="2026-08-10T00:00:00"/>
    <s v="-"/>
    <m/>
    <n v="0"/>
    <s v="Em aberto"/>
  </r>
  <r>
    <s v="19000002120"/>
    <s v="19006834-00"/>
    <x v="0"/>
    <n v="1"/>
    <n v="0"/>
    <n v="0"/>
    <d v="2026-08-24T00:00:00"/>
    <d v="2026-08-24T00:00:00"/>
    <s v="Parada"/>
    <d v="2026-08-10T00:00:00"/>
    <s v="-"/>
    <m/>
    <n v="0"/>
    <s v="Em aberto"/>
  </r>
  <r>
    <s v="19000002121"/>
    <s v="19006834-00"/>
    <x v="0"/>
    <n v="1"/>
    <n v="0"/>
    <n v="0"/>
    <d v="2026-08-24T00:00:00"/>
    <d v="2026-08-24T00:00:00"/>
    <s v="Parada"/>
    <d v="2026-08-10T00:00:00"/>
    <s v="-"/>
    <m/>
    <n v="0"/>
    <s v="Em aberto"/>
  </r>
  <r>
    <s v="19000002122"/>
    <s v="19006834-00"/>
    <x v="0"/>
    <n v="1"/>
    <n v="0"/>
    <n v="0"/>
    <d v="2026-08-25T00:00:00"/>
    <d v="2026-08-25T00:00:00"/>
    <s v="Parada"/>
    <d v="2026-08-10T00:00:00"/>
    <s v="-"/>
    <m/>
    <n v="0"/>
    <s v="Em aberto"/>
  </r>
  <r>
    <s v="19000002123"/>
    <s v="19006834-00"/>
    <x v="0"/>
    <n v="1"/>
    <n v="0"/>
    <n v="0"/>
    <d v="2026-08-25T00:00:00"/>
    <d v="2026-08-25T00:00:00"/>
    <s v="Parada"/>
    <d v="2026-08-10T00:00:00"/>
    <s v="-"/>
    <m/>
    <n v="0"/>
    <s v="Em aberto"/>
  </r>
  <r>
    <s v="19000002124"/>
    <s v="19006834-00"/>
    <x v="0"/>
    <n v="1"/>
    <n v="0"/>
    <n v="0"/>
    <d v="2026-08-25T00:00:00"/>
    <d v="2026-08-25T00:00:00"/>
    <s v="Parada"/>
    <d v="2026-08-10T00:00:00"/>
    <s v="-"/>
    <m/>
    <n v="0"/>
    <s v="Em aberto"/>
  </r>
  <r>
    <s v="19000002125"/>
    <s v="19006834-00"/>
    <x v="0"/>
    <n v="1"/>
    <n v="0"/>
    <n v="0"/>
    <d v="2026-08-25T00:00:00"/>
    <d v="2026-08-25T00:00:00"/>
    <s v="Parada"/>
    <d v="2026-08-10T00:00:00"/>
    <s v="-"/>
    <m/>
    <n v="0"/>
    <s v="Em aberto"/>
  </r>
  <r>
    <s v="19000002126"/>
    <s v="19006834-00"/>
    <x v="0"/>
    <n v="1"/>
    <n v="0"/>
    <n v="0"/>
    <d v="2026-08-26T00:00:00"/>
    <d v="2026-08-26T00:00:00"/>
    <s v="Parada"/>
    <d v="2026-08-10T00:00:00"/>
    <s v="-"/>
    <m/>
    <n v="0"/>
    <s v="Em aberto"/>
  </r>
  <r>
    <s v="19000002127"/>
    <s v="19006834-00"/>
    <x v="0"/>
    <n v="1"/>
    <n v="0"/>
    <n v="0"/>
    <d v="2026-08-26T00:00:00"/>
    <d v="2026-08-26T00:00:00"/>
    <s v="Parada"/>
    <d v="2026-08-10T00:00:00"/>
    <s v="-"/>
    <m/>
    <n v="0"/>
    <s v="Em aberto"/>
  </r>
  <r>
    <s v="19000002128"/>
    <s v="19006834-00"/>
    <x v="0"/>
    <n v="1"/>
    <n v="0"/>
    <n v="0"/>
    <d v="2026-08-26T00:00:00"/>
    <d v="2026-08-26T00:00:00"/>
    <s v="Parada"/>
    <d v="2026-08-10T00:00:00"/>
    <s v="-"/>
    <m/>
    <n v="0"/>
    <s v="Em aberto"/>
  </r>
  <r>
    <s v="19000002129"/>
    <s v="19006834-00"/>
    <x v="0"/>
    <n v="1"/>
    <n v="0"/>
    <n v="0"/>
    <d v="2026-08-27T00:00:00"/>
    <d v="2026-08-27T00:00:00"/>
    <s v="Parada"/>
    <d v="2026-08-10T00:00:00"/>
    <s v="-"/>
    <m/>
    <n v="0"/>
    <s v="Em aberto"/>
  </r>
  <r>
    <s v="19000002130"/>
    <s v="19006834-00"/>
    <x v="0"/>
    <n v="1"/>
    <n v="0"/>
    <n v="0"/>
    <d v="2026-08-27T00:00:00"/>
    <d v="2026-08-27T00:00:00"/>
    <s v="Parada"/>
    <d v="2026-08-10T00:00:00"/>
    <s v="-"/>
    <m/>
    <n v="0"/>
    <s v="Em aberto"/>
  </r>
  <r>
    <s v="19000002131"/>
    <s v="19006834-00"/>
    <x v="0"/>
    <n v="1"/>
    <n v="0"/>
    <n v="0"/>
    <d v="2026-08-27T00:00:00"/>
    <d v="2026-08-27T00:00:00"/>
    <s v="Parada"/>
    <d v="2026-08-10T00:00:00"/>
    <s v="-"/>
    <m/>
    <n v="0"/>
    <s v="Em aberto"/>
  </r>
  <r>
    <s v="19000002132"/>
    <s v="19006834-00"/>
    <x v="0"/>
    <n v="1"/>
    <n v="0"/>
    <n v="0"/>
    <d v="2026-08-27T00:00:00"/>
    <d v="2026-08-27T00:00:00"/>
    <s v="Parada"/>
    <d v="2026-08-10T00:00:00"/>
    <s v="-"/>
    <m/>
    <n v="0"/>
    <s v="Em aberto"/>
  </r>
  <r>
    <s v="19000002133"/>
    <s v="19006834-00"/>
    <x v="0"/>
    <n v="1"/>
    <n v="0"/>
    <n v="0"/>
    <d v="2026-08-28T00:00:00"/>
    <d v="2026-08-28T00:00:00"/>
    <s v="Parada"/>
    <d v="2026-08-10T00:00:00"/>
    <s v="-"/>
    <m/>
    <n v="0"/>
    <s v="Em aberto"/>
  </r>
  <r>
    <s v="19000002134"/>
    <s v="19006834-00"/>
    <x v="0"/>
    <n v="1"/>
    <n v="0"/>
    <n v="0"/>
    <d v="2026-08-28T00:00:00"/>
    <d v="2026-08-28T00:00:00"/>
    <s v="Parada"/>
    <d v="2026-08-10T00:00:00"/>
    <s v="-"/>
    <m/>
    <n v="0"/>
    <s v="Em aberto"/>
  </r>
  <r>
    <s v="19000002135"/>
    <s v="19006834-00"/>
    <x v="0"/>
    <n v="1"/>
    <n v="0"/>
    <n v="0"/>
    <d v="2026-08-28T00:00:00"/>
    <d v="2026-08-28T00:00:00"/>
    <s v="Parada"/>
    <d v="2026-08-10T00:00:00"/>
    <s v="-"/>
    <m/>
    <n v="0"/>
    <s v="Em aberto"/>
  </r>
  <r>
    <s v="19000002136"/>
    <s v="19006834-00"/>
    <x v="0"/>
    <n v="1"/>
    <n v="0"/>
    <n v="0"/>
    <d v="2026-08-31T00:00:00"/>
    <d v="2026-08-31T00:00:00"/>
    <s v="Parada"/>
    <d v="2026-08-10T00:00:00"/>
    <s v="-"/>
    <m/>
    <n v="0"/>
    <s v="Em aberto"/>
  </r>
  <r>
    <s v="19000002137"/>
    <s v="19006834-00"/>
    <x v="0"/>
    <n v="1"/>
    <n v="0"/>
    <n v="0"/>
    <d v="2026-08-31T00:00:00"/>
    <d v="2026-08-31T00:00:00"/>
    <s v="Parada"/>
    <d v="2026-08-10T00:00:00"/>
    <s v="-"/>
    <m/>
    <n v="0"/>
    <s v="Em aberto"/>
  </r>
  <r>
    <s v="19000002138"/>
    <s v="19006834-00"/>
    <x v="0"/>
    <n v="1"/>
    <n v="0"/>
    <n v="0"/>
    <d v="2026-08-31T00:00:00"/>
    <d v="2026-08-31T00:00:00"/>
    <s v="Parada"/>
    <d v="2026-08-10T00:00:00"/>
    <s v="-"/>
    <m/>
    <n v="0"/>
    <s v="Em aberto"/>
  </r>
  <r>
    <s v="19000002139"/>
    <s v="19006834-00"/>
    <x v="0"/>
    <n v="1"/>
    <n v="0"/>
    <n v="0"/>
    <d v="2026-08-31T00:00:00"/>
    <d v="2026-08-31T00:00:00"/>
    <s v="Parada"/>
    <d v="2026-08-10T00:00:00"/>
    <s v="-"/>
    <m/>
    <n v="0"/>
    <s v="Em aberto"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s v="-"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  <r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7" firstHeaderRow="1" firstDataRow="1" firstDataCol="1"/>
  <pivotFields count="14">
    <pivotField compact="0" outline="0" showAll="0" defaultSubtotal="0"/>
    <pivotField compact="0" outline="0" showAll="0" defaultSubtotal="0"/>
    <pivotField axis="axisRow" dataField="1" compact="0" outline="0" showAll="0" defaultSubtotal="0">
      <items count="5">
        <item x="2"/>
        <item x="3"/>
        <item x="0"/>
        <item x="1"/>
        <item h="1"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Modelo"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Y11"/>
  <sheetViews>
    <sheetView showGridLines="0" tabSelected="1" zoomScale="80" zoomScaleNormal="80" workbookViewId="0">
      <pane ySplit="4" topLeftCell="A5" activePane="bottomLeft" state="frozen"/>
      <selection pane="bottomLeft" activeCell="I3" sqref="I3"/>
    </sheetView>
  </sheetViews>
  <sheetFormatPr defaultRowHeight="14.5"/>
  <cols>
    <col min="1" max="1" width="16" bestFit="1" customWidth="1"/>
    <col min="2" max="7" width="14" customWidth="1"/>
    <col min="8" max="8" width="34.90625" bestFit="1" customWidth="1"/>
    <col min="9" max="10" width="14" customWidth="1"/>
    <col min="11" max="11" width="19.08984375" customWidth="1"/>
    <col min="12" max="12" width="14" customWidth="1"/>
  </cols>
  <sheetData>
    <row r="1" spans="1:25" s="7" customFormat="1" ht="32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32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3" spans="1:25" ht="18.5" customHeight="1">
      <c r="A3" s="17">
        <f ca="1">NOW()</f>
        <v>46252.3480837963</v>
      </c>
      <c r="G3" s="1" t="s">
        <v>1</v>
      </c>
      <c r="H3" s="2" t="s">
        <v>20</v>
      </c>
      <c r="J3" s="1" t="s">
        <v>3</v>
      </c>
      <c r="K3" s="2" t="s">
        <v>2</v>
      </c>
      <c r="L3" s="10"/>
    </row>
    <row r="5" spans="1:25" s="9" customFormat="1">
      <c r="A5" s="28" t="s">
        <v>183</v>
      </c>
      <c r="B5" s="29"/>
      <c r="C5" s="28" t="s">
        <v>4</v>
      </c>
      <c r="D5" s="29"/>
      <c r="E5" s="28" t="s">
        <v>5</v>
      </c>
      <c r="F5" s="29"/>
      <c r="G5" s="28" t="s">
        <v>6</v>
      </c>
      <c r="H5" s="29"/>
      <c r="I5" s="28" t="s">
        <v>7</v>
      </c>
      <c r="J5" s="29"/>
      <c r="K5" s="28" t="s">
        <v>8</v>
      </c>
      <c r="L5" s="29"/>
    </row>
    <row r="6" spans="1:25" s="3" customFormat="1"/>
    <row r="7" spans="1:25" s="3" customFormat="1" ht="27" customHeight="1">
      <c r="A7" s="34">
        <f>IF(H3="Todos",COUNTA(BASE_OP!C:C)-1,COUNTIF(BASE_OP!C:C,H3))</f>
        <v>1</v>
      </c>
      <c r="B7" s="31"/>
      <c r="C7" s="34">
        <f>CALCULOS!B3</f>
        <v>1</v>
      </c>
      <c r="D7" s="31"/>
      <c r="E7" s="30" cm="1">
        <f t="array" ref="E7">IFERROR(SUMPRODUCT(BASE_OP!$F$2:$F$9916,--(BASE_OP!$A$2:$A$9916&lt;&gt;""),--((DASHBOARD!$H$3="Todos")+(BASE_OP!$C$2:$C$9916=DASHBOARD!$H$3)&gt;0),--((DASHBOARD!$K$3="Todos")+(BASE_OP!$I$2:$I$9916=DASHBOARD!$K$3)&gt;0))/SUMPRODUCT(BASE_OP!$D$2:$D$9916,--(BASE_OP!$A$2:$A$9916&lt;&gt;""),--((DASHBOARD!$H$3="Todos")+(BASE_OP!$C$2:$C$9916=DASHBOARD!$H$3)&gt;0),--((DASHBOARD!$K$3="Todos")+(BASE_OP!$I$2:$I$9916=DASHBOARD!$K$3)&gt;0)),0)</f>
        <v>1</v>
      </c>
      <c r="F7" s="31"/>
      <c r="G7" s="34">
        <f>CALCULOS!B5</f>
        <v>0</v>
      </c>
      <c r="H7" s="31"/>
      <c r="I7" s="30">
        <f>CALCULOS!B10</f>
        <v>1</v>
      </c>
      <c r="J7" s="31"/>
      <c r="K7" s="36">
        <f>CALCULOS!B9</f>
        <v>1</v>
      </c>
      <c r="L7" s="31"/>
    </row>
    <row r="8" spans="1:25" s="3" customFormat="1"/>
    <row r="9" spans="1:25" s="7" customFormat="1" ht="15.5" customHeight="1">
      <c r="A9" s="35" t="s">
        <v>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25" s="14" customFormat="1">
      <c r="A10" s="24" t="s">
        <v>10</v>
      </c>
      <c r="B10" s="25"/>
      <c r="C10" s="25"/>
      <c r="D10" s="24" t="s">
        <v>11</v>
      </c>
      <c r="E10" s="25"/>
      <c r="F10" s="25"/>
      <c r="G10" s="24" t="s">
        <v>12</v>
      </c>
      <c r="H10" s="25"/>
      <c r="I10" s="25"/>
      <c r="J10" s="24" t="s">
        <v>13</v>
      </c>
      <c r="K10" s="25"/>
      <c r="L10" s="25"/>
    </row>
    <row r="11" spans="1:25" ht="22" customHeight="1">
      <c r="A11" s="26">
        <f>CALCULOS!B11</f>
        <v>1</v>
      </c>
      <c r="B11" s="27"/>
      <c r="C11" s="27"/>
      <c r="D11" s="26">
        <f>CALCULOS!B12</f>
        <v>5</v>
      </c>
      <c r="E11" s="27"/>
      <c r="F11" s="27"/>
      <c r="G11" s="26">
        <f>CALCULOS!B13</f>
        <v>1</v>
      </c>
      <c r="H11" s="27"/>
      <c r="I11" s="27"/>
      <c r="J11" s="26">
        <f>CALCULOS!B8</f>
        <v>1</v>
      </c>
      <c r="K11" s="27"/>
      <c r="L11" s="27"/>
    </row>
  </sheetData>
  <mergeCells count="23">
    <mergeCell ref="A1:L1"/>
    <mergeCell ref="N1:Y1"/>
    <mergeCell ref="J11:L11"/>
    <mergeCell ref="A7:B7"/>
    <mergeCell ref="G7:H7"/>
    <mergeCell ref="I7:J7"/>
    <mergeCell ref="A10:C10"/>
    <mergeCell ref="A5:B5"/>
    <mergeCell ref="G5:H5"/>
    <mergeCell ref="I5:J5"/>
    <mergeCell ref="A9:L9"/>
    <mergeCell ref="D10:F10"/>
    <mergeCell ref="G11:I11"/>
    <mergeCell ref="K7:L7"/>
    <mergeCell ref="A11:C11"/>
    <mergeCell ref="C7:D7"/>
    <mergeCell ref="J10:L10"/>
    <mergeCell ref="D11:F11"/>
    <mergeCell ref="G10:I10"/>
    <mergeCell ref="C5:D5"/>
    <mergeCell ref="E5:F5"/>
    <mergeCell ref="K5:L5"/>
    <mergeCell ref="E7:F7"/>
  </mergeCells>
  <dataValidations count="2">
    <dataValidation type="list" errorTitle="Modelo inválido" error="Selecione um modelo da lista." promptTitle="Filtro de Modelo" prompt="Selecione o modelo para atualizar o dashboard." sqref="H3" xr:uid="{00000000-0002-0000-0000-000000000000}">
      <formula1>ListaModelos</formula1>
    </dataValidation>
    <dataValidation type="list" errorTitle="Status inválido" error="Selecione um status da lista." promptTitle="Filtro de Status" prompt="Selecione o status para atualizar o dashboard." sqref="K3" xr:uid="{00000000-0002-0000-0000-000001000000}">
      <formula1>ListaStatus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C827-5DF1-404B-807C-312AD0CFF16A}">
  <dimension ref="A1"/>
  <sheetViews>
    <sheetView workbookViewId="0"/>
  </sheetViews>
  <sheetFormatPr defaultRowHeight="14.5"/>
  <sheetData>
    <row r="1" spans="1:1">
      <c r="A1" t="s">
        <v>172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F8"/>
  <sheetViews>
    <sheetView workbookViewId="0">
      <selection activeCell="A20" sqref="A20"/>
    </sheetView>
  </sheetViews>
  <sheetFormatPr defaultRowHeight="14.5"/>
  <cols>
    <col min="1" max="1" width="48" bestFit="1" customWidth="1"/>
    <col min="2" max="2" width="18" bestFit="1" customWidth="1"/>
    <col min="4" max="4" width="48" hidden="1" customWidth="1"/>
    <col min="6" max="6" width="34" customWidth="1"/>
  </cols>
  <sheetData>
    <row r="1" spans="1:6">
      <c r="F1" t="s">
        <v>14</v>
      </c>
    </row>
    <row r="2" spans="1:6">
      <c r="F2" t="s">
        <v>2</v>
      </c>
    </row>
    <row r="3" spans="1:6">
      <c r="A3" s="16" t="s">
        <v>1</v>
      </c>
      <c r="B3" t="s">
        <v>15</v>
      </c>
      <c r="D3" t="s">
        <v>16</v>
      </c>
      <c r="F3" t="s">
        <v>17</v>
      </c>
    </row>
    <row r="4" spans="1:6">
      <c r="A4" t="s">
        <v>18</v>
      </c>
      <c r="B4">
        <f>IF(DASHBOARD!$H$3="Todos",COUNTIF(BASE_OP!$C:$C,A4),IF(DASHBOARD!$H$3=A4,COUNTIF(BASE_OP!$C:$C,A4),0))</f>
        <v>0</v>
      </c>
      <c r="D4" t="s">
        <v>2</v>
      </c>
      <c r="F4" t="s">
        <v>19</v>
      </c>
    </row>
    <row r="5" spans="1:6">
      <c r="A5" t="s">
        <v>20</v>
      </c>
      <c r="B5">
        <f>IF(DASHBOARD!$H$3="Todos",COUNTIF(BASE_OP!$C:$C,A5),IF(DASHBOARD!$H$3=A5,COUNTIF(BASE_OP!$C:$C,A5),0))</f>
        <v>1</v>
      </c>
      <c r="D5" t="s">
        <v>21</v>
      </c>
      <c r="F5" t="s">
        <v>22</v>
      </c>
    </row>
    <row r="6" spans="1:6">
      <c r="A6" t="s">
        <v>21</v>
      </c>
      <c r="B6">
        <f>IF(DASHBOARD!$H$3="Todos",COUNTIF(BASE_OP!$C:$C,A6),IF(DASHBOARD!$H$3=A6,COUNTIF(BASE_OP!$C:$C,A6),0))</f>
        <v>0</v>
      </c>
      <c r="D6" t="s">
        <v>23</v>
      </c>
      <c r="F6" t="s">
        <v>24</v>
      </c>
    </row>
    <row r="7" spans="1:6">
      <c r="A7" t="s">
        <v>23</v>
      </c>
      <c r="B7">
        <f>IF(DASHBOARD!$H$3="Todos",COUNTIF(BASE_OP!$C:$C,A7),IF(DASHBOARD!$H$3=A7,COUNTIF(BASE_OP!$C:$C,A7),0))</f>
        <v>0</v>
      </c>
      <c r="D7" t="s">
        <v>18</v>
      </c>
    </row>
    <row r="8" spans="1:6">
      <c r="D8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N443"/>
  <sheetViews>
    <sheetView zoomScale="50" zoomScaleNormal="50" workbookViewId="0">
      <pane ySplit="1" topLeftCell="A2" activePane="bottomLeft" state="frozen"/>
      <selection pane="bottomLeft" activeCell="E2" sqref="E2:E102"/>
    </sheetView>
  </sheetViews>
  <sheetFormatPr defaultRowHeight="14.5"/>
  <cols>
    <col min="1" max="1" width="14.08984375" style="4" customWidth="1"/>
    <col min="2" max="2" width="18" style="4" customWidth="1"/>
    <col min="3" max="3" width="34.36328125" style="4" bestFit="1" customWidth="1"/>
    <col min="4" max="5" width="15" style="4" customWidth="1"/>
    <col min="6" max="6" width="17.7265625" style="4" customWidth="1"/>
    <col min="7" max="7" width="27.54296875" style="4" bestFit="1" customWidth="1"/>
    <col min="8" max="8" width="26.36328125" style="4" bestFit="1" customWidth="1"/>
    <col min="9" max="9" width="36.453125" style="4" bestFit="1" customWidth="1"/>
    <col min="10" max="10" width="22" style="4" customWidth="1"/>
    <col min="11" max="11" width="33.7265625" style="4" bestFit="1" customWidth="1"/>
    <col min="12" max="12" width="21.08984375" style="4" customWidth="1"/>
    <col min="13" max="13" width="13.08984375" style="4" customWidth="1"/>
    <col min="14" max="14" width="22.54296875" style="4" bestFit="1" customWidth="1"/>
  </cols>
  <sheetData>
    <row r="1" spans="1:14">
      <c r="A1" s="4" t="s">
        <v>25</v>
      </c>
      <c r="B1" s="4" t="s">
        <v>26</v>
      </c>
      <c r="C1" s="4" t="s">
        <v>1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</row>
    <row r="2" spans="1:14">
      <c r="A2" s="22" t="s">
        <v>41</v>
      </c>
      <c r="B2" s="22" t="s">
        <v>42</v>
      </c>
      <c r="C2" s="22" t="s">
        <v>23</v>
      </c>
      <c r="D2" s="4">
        <v>1</v>
      </c>
      <c r="E2" s="4">
        <v>1</v>
      </c>
      <c r="F2" s="4">
        <v>1</v>
      </c>
      <c r="G2" s="5">
        <v>46234</v>
      </c>
      <c r="H2" s="5">
        <v>46234</v>
      </c>
      <c r="I2" s="4" t="s">
        <v>17</v>
      </c>
      <c r="J2" s="5">
        <v>46196</v>
      </c>
      <c r="K2" s="4" t="s">
        <v>43</v>
      </c>
      <c r="M2" s="6">
        <f t="shared" ref="M2:M33" si="0">IF(D2=0,0,F2/D2)</f>
        <v>1</v>
      </c>
      <c r="N2" s="4" t="str">
        <f t="shared" ref="N2:N33" si="1">IF(I2&lt;&gt;"Encerrada","Em aberto",IF(H2&lt;=G2,"Sim","Não"))</f>
        <v>Em aberto</v>
      </c>
    </row>
    <row r="3" spans="1:14">
      <c r="A3" s="22" t="s">
        <v>44</v>
      </c>
      <c r="B3" s="22" t="s">
        <v>42</v>
      </c>
      <c r="C3" s="22" t="s">
        <v>23</v>
      </c>
      <c r="D3" s="4">
        <v>1</v>
      </c>
      <c r="E3" s="4">
        <v>1</v>
      </c>
      <c r="F3" s="4">
        <v>1</v>
      </c>
      <c r="G3" s="5">
        <v>46234</v>
      </c>
      <c r="H3" s="5">
        <v>46234</v>
      </c>
      <c r="I3" s="4" t="s">
        <v>17</v>
      </c>
      <c r="J3" s="5">
        <v>46196</v>
      </c>
      <c r="K3" s="4" t="s">
        <v>45</v>
      </c>
      <c r="M3" s="6">
        <f t="shared" si="0"/>
        <v>1</v>
      </c>
      <c r="N3" s="4" t="str">
        <f t="shared" si="1"/>
        <v>Em aberto</v>
      </c>
    </row>
    <row r="4" spans="1:14">
      <c r="A4" s="4" t="s">
        <v>46</v>
      </c>
      <c r="B4" s="4" t="s">
        <v>42</v>
      </c>
      <c r="C4" s="4" t="s">
        <v>23</v>
      </c>
      <c r="D4" s="4">
        <v>1</v>
      </c>
      <c r="E4" s="4">
        <v>1</v>
      </c>
      <c r="F4" s="4">
        <v>1</v>
      </c>
      <c r="G4" s="5">
        <v>46234</v>
      </c>
      <c r="H4" s="5">
        <v>46234</v>
      </c>
      <c r="I4" s="4" t="s">
        <v>17</v>
      </c>
      <c r="J4" s="5">
        <v>46196</v>
      </c>
      <c r="K4" s="4" t="s">
        <v>47</v>
      </c>
      <c r="M4" s="6">
        <f t="shared" si="0"/>
        <v>1</v>
      </c>
      <c r="N4" s="4" t="str">
        <f t="shared" si="1"/>
        <v>Em aberto</v>
      </c>
    </row>
    <row r="5" spans="1:14">
      <c r="A5" s="4" t="s">
        <v>48</v>
      </c>
      <c r="B5" s="4" t="s">
        <v>42</v>
      </c>
      <c r="C5" s="4" t="s">
        <v>23</v>
      </c>
      <c r="D5" s="4">
        <v>1</v>
      </c>
      <c r="E5" s="4">
        <v>1</v>
      </c>
      <c r="F5" s="4">
        <v>1</v>
      </c>
      <c r="G5" s="5">
        <v>46234</v>
      </c>
      <c r="H5" s="5">
        <v>46234</v>
      </c>
      <c r="I5" s="4" t="s">
        <v>17</v>
      </c>
      <c r="J5" s="5">
        <v>46196</v>
      </c>
      <c r="K5" s="4" t="s">
        <v>43</v>
      </c>
      <c r="M5" s="6">
        <f t="shared" si="0"/>
        <v>1</v>
      </c>
      <c r="N5" s="4" t="str">
        <f t="shared" si="1"/>
        <v>Em aberto</v>
      </c>
    </row>
    <row r="6" spans="1:14">
      <c r="A6" s="4" t="s">
        <v>49</v>
      </c>
      <c r="B6" s="4" t="s">
        <v>42</v>
      </c>
      <c r="C6" s="4" t="s">
        <v>23</v>
      </c>
      <c r="D6" s="4">
        <v>1</v>
      </c>
      <c r="E6" s="4">
        <v>1</v>
      </c>
      <c r="F6" s="4">
        <v>1</v>
      </c>
      <c r="G6" s="5">
        <v>46234</v>
      </c>
      <c r="H6" s="5">
        <v>46234</v>
      </c>
      <c r="I6" s="4" t="s">
        <v>17</v>
      </c>
      <c r="J6" s="5">
        <v>46196</v>
      </c>
      <c r="K6" s="4" t="s">
        <v>43</v>
      </c>
      <c r="M6" s="6">
        <f t="shared" si="0"/>
        <v>1</v>
      </c>
      <c r="N6" s="4" t="str">
        <f t="shared" si="1"/>
        <v>Em aberto</v>
      </c>
    </row>
    <row r="7" spans="1:14">
      <c r="A7" s="4" t="s">
        <v>50</v>
      </c>
      <c r="B7" s="4" t="s">
        <v>42</v>
      </c>
      <c r="C7" s="4" t="s">
        <v>23</v>
      </c>
      <c r="D7" s="4">
        <v>1</v>
      </c>
      <c r="E7" s="4">
        <v>1</v>
      </c>
      <c r="F7" s="4">
        <v>1</v>
      </c>
      <c r="G7" s="5">
        <v>46234</v>
      </c>
      <c r="H7" s="5">
        <v>46234</v>
      </c>
      <c r="I7" s="4" t="s">
        <v>17</v>
      </c>
      <c r="J7" s="5">
        <v>46196</v>
      </c>
      <c r="K7" s="4" t="s">
        <v>43</v>
      </c>
      <c r="M7" s="6">
        <f t="shared" si="0"/>
        <v>1</v>
      </c>
      <c r="N7" s="4" t="str">
        <f t="shared" si="1"/>
        <v>Em aberto</v>
      </c>
    </row>
    <row r="8" spans="1:14">
      <c r="A8" s="4" t="s">
        <v>51</v>
      </c>
      <c r="B8" s="4" t="s">
        <v>42</v>
      </c>
      <c r="C8" s="4" t="s">
        <v>23</v>
      </c>
      <c r="D8" s="4">
        <v>1</v>
      </c>
      <c r="E8" s="4">
        <v>1</v>
      </c>
      <c r="F8" s="4">
        <v>1</v>
      </c>
      <c r="G8" s="5">
        <v>46234</v>
      </c>
      <c r="H8" s="5">
        <v>46234</v>
      </c>
      <c r="I8" s="4" t="s">
        <v>17</v>
      </c>
      <c r="J8" s="5">
        <v>46219</v>
      </c>
      <c r="K8" s="4" t="s">
        <v>43</v>
      </c>
      <c r="M8" s="6">
        <f t="shared" si="0"/>
        <v>1</v>
      </c>
      <c r="N8" s="4" t="str">
        <f t="shared" si="1"/>
        <v>Em aberto</v>
      </c>
    </row>
    <row r="9" spans="1:14">
      <c r="A9" s="4" t="s">
        <v>52</v>
      </c>
      <c r="B9" s="4" t="s">
        <v>42</v>
      </c>
      <c r="C9" s="4" t="s">
        <v>23</v>
      </c>
      <c r="D9" s="4">
        <v>1</v>
      </c>
      <c r="E9" s="4">
        <v>1</v>
      </c>
      <c r="F9" s="4">
        <v>1</v>
      </c>
      <c r="G9" s="5">
        <v>46234</v>
      </c>
      <c r="H9" s="5">
        <v>46234</v>
      </c>
      <c r="I9" s="4" t="s">
        <v>17</v>
      </c>
      <c r="J9" s="5">
        <v>46219</v>
      </c>
      <c r="K9" s="4" t="s">
        <v>43</v>
      </c>
      <c r="M9" s="6">
        <f t="shared" si="0"/>
        <v>1</v>
      </c>
      <c r="N9" s="4" t="str">
        <f t="shared" si="1"/>
        <v>Em aberto</v>
      </c>
    </row>
    <row r="10" spans="1:14">
      <c r="A10" s="4" t="s">
        <v>53</v>
      </c>
      <c r="B10" s="4" t="s">
        <v>54</v>
      </c>
      <c r="C10" s="4" t="s">
        <v>18</v>
      </c>
      <c r="D10" s="4">
        <v>220</v>
      </c>
      <c r="E10" s="4">
        <v>220</v>
      </c>
      <c r="F10" s="4">
        <v>220</v>
      </c>
      <c r="G10" s="5">
        <v>46237</v>
      </c>
      <c r="H10" s="5">
        <v>46237</v>
      </c>
      <c r="I10" s="4" t="s">
        <v>17</v>
      </c>
      <c r="J10" s="5">
        <v>46237</v>
      </c>
      <c r="K10" s="4" t="s">
        <v>43</v>
      </c>
      <c r="M10" s="6">
        <f t="shared" si="0"/>
        <v>1</v>
      </c>
      <c r="N10" s="4" t="str">
        <f t="shared" si="1"/>
        <v>Em aberto</v>
      </c>
    </row>
    <row r="11" spans="1:14">
      <c r="A11" s="4" t="s">
        <v>55</v>
      </c>
      <c r="B11" s="4" t="s">
        <v>42</v>
      </c>
      <c r="C11" s="4" t="s">
        <v>23</v>
      </c>
      <c r="D11" s="4">
        <v>1</v>
      </c>
      <c r="E11" s="4">
        <v>1</v>
      </c>
      <c r="F11" s="4">
        <v>1</v>
      </c>
      <c r="G11" s="5">
        <v>46237</v>
      </c>
      <c r="H11" s="5">
        <v>46237</v>
      </c>
      <c r="I11" s="4" t="s">
        <v>17</v>
      </c>
      <c r="J11" s="5">
        <v>46219</v>
      </c>
      <c r="K11" s="4" t="s">
        <v>43</v>
      </c>
      <c r="M11" s="6">
        <f t="shared" si="0"/>
        <v>1</v>
      </c>
      <c r="N11" s="4" t="str">
        <f t="shared" si="1"/>
        <v>Em aberto</v>
      </c>
    </row>
    <row r="12" spans="1:14">
      <c r="A12" s="4" t="s">
        <v>56</v>
      </c>
      <c r="B12" s="4" t="s">
        <v>42</v>
      </c>
      <c r="C12" s="4" t="s">
        <v>23</v>
      </c>
      <c r="D12" s="4">
        <v>1</v>
      </c>
      <c r="E12" s="4">
        <v>1</v>
      </c>
      <c r="F12" s="4">
        <v>1</v>
      </c>
      <c r="G12" s="5">
        <v>46237</v>
      </c>
      <c r="H12" s="5">
        <v>46237</v>
      </c>
      <c r="I12" s="4" t="s">
        <v>17</v>
      </c>
      <c r="J12" s="5">
        <v>46226</v>
      </c>
      <c r="K12" s="4" t="s">
        <v>43</v>
      </c>
      <c r="M12" s="6">
        <f t="shared" si="0"/>
        <v>1</v>
      </c>
      <c r="N12" s="4" t="str">
        <f t="shared" si="1"/>
        <v>Em aberto</v>
      </c>
    </row>
    <row r="13" spans="1:14">
      <c r="A13" s="4" t="s">
        <v>57</v>
      </c>
      <c r="B13" s="4" t="s">
        <v>42</v>
      </c>
      <c r="C13" s="4" t="s">
        <v>23</v>
      </c>
      <c r="D13" s="4">
        <v>1</v>
      </c>
      <c r="E13" s="4">
        <v>1</v>
      </c>
      <c r="F13" s="4">
        <v>1</v>
      </c>
      <c r="G13" s="5">
        <v>46237</v>
      </c>
      <c r="H13" s="5">
        <v>46237</v>
      </c>
      <c r="I13" s="4" t="s">
        <v>17</v>
      </c>
      <c r="J13" s="5">
        <v>46226</v>
      </c>
      <c r="K13" s="4" t="s">
        <v>43</v>
      </c>
      <c r="M13" s="6">
        <f t="shared" si="0"/>
        <v>1</v>
      </c>
      <c r="N13" s="4" t="str">
        <f t="shared" si="1"/>
        <v>Em aberto</v>
      </c>
    </row>
    <row r="14" spans="1:14">
      <c r="A14" s="4" t="s">
        <v>58</v>
      </c>
      <c r="B14" s="4" t="s">
        <v>42</v>
      </c>
      <c r="C14" s="4" t="s">
        <v>23</v>
      </c>
      <c r="D14" s="4">
        <v>1</v>
      </c>
      <c r="E14" s="4">
        <v>1</v>
      </c>
      <c r="F14" s="4">
        <v>1</v>
      </c>
      <c r="G14" s="5">
        <v>46237</v>
      </c>
      <c r="H14" s="5">
        <v>46237</v>
      </c>
      <c r="I14" s="4" t="s">
        <v>17</v>
      </c>
      <c r="J14" s="5">
        <v>46226</v>
      </c>
      <c r="K14" s="4" t="s">
        <v>43</v>
      </c>
      <c r="M14" s="6">
        <f t="shared" si="0"/>
        <v>1</v>
      </c>
      <c r="N14" s="4" t="str">
        <f t="shared" si="1"/>
        <v>Em aberto</v>
      </c>
    </row>
    <row r="15" spans="1:14">
      <c r="A15" s="4" t="s">
        <v>59</v>
      </c>
      <c r="B15" s="4" t="s">
        <v>42</v>
      </c>
      <c r="C15" s="4" t="s">
        <v>23</v>
      </c>
      <c r="D15" s="4">
        <v>1</v>
      </c>
      <c r="E15" s="4">
        <v>1</v>
      </c>
      <c r="F15" s="4">
        <v>1</v>
      </c>
      <c r="G15" s="5">
        <v>46237</v>
      </c>
      <c r="H15" s="5">
        <v>46237</v>
      </c>
      <c r="I15" s="4" t="s">
        <v>17</v>
      </c>
      <c r="J15" s="5">
        <v>46226</v>
      </c>
      <c r="K15" s="4" t="s">
        <v>43</v>
      </c>
      <c r="M15" s="6">
        <f t="shared" si="0"/>
        <v>1</v>
      </c>
      <c r="N15" s="4" t="str">
        <f t="shared" si="1"/>
        <v>Em aberto</v>
      </c>
    </row>
    <row r="16" spans="1:14">
      <c r="A16" s="4" t="s">
        <v>60</v>
      </c>
      <c r="B16" s="4" t="s">
        <v>42</v>
      </c>
      <c r="C16" s="4" t="s">
        <v>23</v>
      </c>
      <c r="D16" s="4">
        <v>1</v>
      </c>
      <c r="E16" s="4">
        <v>1</v>
      </c>
      <c r="F16" s="4">
        <v>1</v>
      </c>
      <c r="G16" s="5">
        <v>46237</v>
      </c>
      <c r="H16" s="5">
        <v>46237</v>
      </c>
      <c r="I16" s="4" t="s">
        <v>17</v>
      </c>
      <c r="J16" s="5">
        <v>46226</v>
      </c>
      <c r="K16" s="4" t="s">
        <v>43</v>
      </c>
      <c r="M16" s="6">
        <f t="shared" si="0"/>
        <v>1</v>
      </c>
      <c r="N16" s="4" t="str">
        <f t="shared" si="1"/>
        <v>Em aberto</v>
      </c>
    </row>
    <row r="17" spans="1:14">
      <c r="A17" s="4" t="s">
        <v>61</v>
      </c>
      <c r="B17" s="4" t="s">
        <v>42</v>
      </c>
      <c r="C17" s="4" t="s">
        <v>23</v>
      </c>
      <c r="D17" s="4">
        <v>1</v>
      </c>
      <c r="E17" s="4">
        <v>1</v>
      </c>
      <c r="F17" s="4">
        <v>1</v>
      </c>
      <c r="G17" s="5">
        <v>46237</v>
      </c>
      <c r="H17" s="5">
        <v>46237</v>
      </c>
      <c r="I17" s="4" t="s">
        <v>17</v>
      </c>
      <c r="J17" s="5">
        <v>46226</v>
      </c>
      <c r="K17" s="4" t="s">
        <v>43</v>
      </c>
      <c r="M17" s="6">
        <f t="shared" si="0"/>
        <v>1</v>
      </c>
      <c r="N17" s="4" t="str">
        <f t="shared" si="1"/>
        <v>Em aberto</v>
      </c>
    </row>
    <row r="18" spans="1:14">
      <c r="A18" s="4" t="s">
        <v>62</v>
      </c>
      <c r="B18" s="4" t="s">
        <v>42</v>
      </c>
      <c r="C18" s="4" t="s">
        <v>23</v>
      </c>
      <c r="D18" s="4">
        <v>1</v>
      </c>
      <c r="E18" s="4">
        <v>1</v>
      </c>
      <c r="F18" s="4">
        <v>1</v>
      </c>
      <c r="G18" s="5">
        <v>46238</v>
      </c>
      <c r="H18" s="5">
        <v>46238</v>
      </c>
      <c r="I18" s="4" t="s">
        <v>17</v>
      </c>
      <c r="J18" s="5">
        <v>46226</v>
      </c>
      <c r="K18" s="4" t="s">
        <v>43</v>
      </c>
      <c r="M18" s="6">
        <f t="shared" si="0"/>
        <v>1</v>
      </c>
      <c r="N18" s="4" t="str">
        <f t="shared" si="1"/>
        <v>Em aberto</v>
      </c>
    </row>
    <row r="19" spans="1:14">
      <c r="A19" s="4" t="s">
        <v>63</v>
      </c>
      <c r="B19" s="4" t="s">
        <v>42</v>
      </c>
      <c r="C19" s="4" t="s">
        <v>23</v>
      </c>
      <c r="D19" s="4">
        <v>1</v>
      </c>
      <c r="E19" s="4">
        <v>1</v>
      </c>
      <c r="F19" s="4">
        <v>1</v>
      </c>
      <c r="G19" s="5">
        <v>46238</v>
      </c>
      <c r="H19" s="5">
        <v>46238</v>
      </c>
      <c r="I19" s="4" t="s">
        <v>17</v>
      </c>
      <c r="J19" s="5">
        <v>46226</v>
      </c>
      <c r="K19" s="4" t="s">
        <v>43</v>
      </c>
      <c r="M19" s="6">
        <f t="shared" si="0"/>
        <v>1</v>
      </c>
      <c r="N19" s="4" t="str">
        <f t="shared" si="1"/>
        <v>Em aberto</v>
      </c>
    </row>
    <row r="20" spans="1:14">
      <c r="A20" s="4" t="s">
        <v>64</v>
      </c>
      <c r="B20" s="4" t="s">
        <v>42</v>
      </c>
      <c r="C20" s="4" t="s">
        <v>23</v>
      </c>
      <c r="D20" s="4">
        <v>1</v>
      </c>
      <c r="E20" s="4">
        <v>1</v>
      </c>
      <c r="F20" s="4">
        <v>1</v>
      </c>
      <c r="G20" s="5">
        <v>46238</v>
      </c>
      <c r="H20" s="5">
        <v>46238</v>
      </c>
      <c r="I20" s="4" t="s">
        <v>17</v>
      </c>
      <c r="J20" s="5">
        <v>46226</v>
      </c>
      <c r="K20" s="4" t="s">
        <v>43</v>
      </c>
      <c r="M20" s="6">
        <f t="shared" si="0"/>
        <v>1</v>
      </c>
      <c r="N20" s="4" t="str">
        <f t="shared" si="1"/>
        <v>Em aberto</v>
      </c>
    </row>
    <row r="21" spans="1:14">
      <c r="A21" s="4" t="s">
        <v>65</v>
      </c>
      <c r="B21" s="4" t="s">
        <v>42</v>
      </c>
      <c r="C21" s="4" t="s">
        <v>23</v>
      </c>
      <c r="D21" s="4">
        <v>1</v>
      </c>
      <c r="E21" s="4">
        <v>1</v>
      </c>
      <c r="F21" s="4">
        <v>1</v>
      </c>
      <c r="G21" s="5">
        <v>46238</v>
      </c>
      <c r="H21" s="5">
        <v>46238</v>
      </c>
      <c r="I21" s="4" t="s">
        <v>17</v>
      </c>
      <c r="J21" s="5">
        <v>46226</v>
      </c>
      <c r="K21" s="4" t="s">
        <v>43</v>
      </c>
      <c r="M21" s="6">
        <f t="shared" si="0"/>
        <v>1</v>
      </c>
      <c r="N21" s="4" t="str">
        <f t="shared" si="1"/>
        <v>Em aberto</v>
      </c>
    </row>
    <row r="22" spans="1:14">
      <c r="A22" s="4" t="s">
        <v>66</v>
      </c>
      <c r="B22" s="4" t="s">
        <v>42</v>
      </c>
      <c r="C22" s="4" t="s">
        <v>23</v>
      </c>
      <c r="D22" s="4">
        <v>1</v>
      </c>
      <c r="E22" s="4">
        <v>1</v>
      </c>
      <c r="F22" s="4">
        <v>1</v>
      </c>
      <c r="G22" s="5">
        <v>46238</v>
      </c>
      <c r="H22" s="5">
        <v>46238</v>
      </c>
      <c r="I22" s="4" t="s">
        <v>17</v>
      </c>
      <c r="J22" s="5">
        <v>46226</v>
      </c>
      <c r="K22" s="4" t="s">
        <v>43</v>
      </c>
      <c r="M22" s="6">
        <f t="shared" si="0"/>
        <v>1</v>
      </c>
      <c r="N22" s="4" t="str">
        <f t="shared" si="1"/>
        <v>Em aberto</v>
      </c>
    </row>
    <row r="23" spans="1:14">
      <c r="A23" s="4" t="s">
        <v>67</v>
      </c>
      <c r="B23" s="4" t="s">
        <v>42</v>
      </c>
      <c r="C23" s="4" t="s">
        <v>23</v>
      </c>
      <c r="D23" s="4">
        <v>1</v>
      </c>
      <c r="E23" s="4">
        <v>1</v>
      </c>
      <c r="F23" s="4">
        <v>1</v>
      </c>
      <c r="G23" s="5">
        <v>46238</v>
      </c>
      <c r="H23" s="5">
        <v>46238</v>
      </c>
      <c r="I23" s="4" t="s">
        <v>17</v>
      </c>
      <c r="J23" s="5">
        <v>46226</v>
      </c>
      <c r="K23" s="4" t="s">
        <v>43</v>
      </c>
      <c r="L23" s="4">
        <v>1</v>
      </c>
      <c r="M23" s="6">
        <f t="shared" si="0"/>
        <v>1</v>
      </c>
      <c r="N23" s="4" t="str">
        <f t="shared" si="1"/>
        <v>Em aberto</v>
      </c>
    </row>
    <row r="24" spans="1:14">
      <c r="A24" s="4" t="s">
        <v>68</v>
      </c>
      <c r="B24" s="4" t="s">
        <v>42</v>
      </c>
      <c r="C24" s="4" t="s">
        <v>23</v>
      </c>
      <c r="D24" s="4">
        <v>1</v>
      </c>
      <c r="E24" s="4">
        <v>1</v>
      </c>
      <c r="F24" s="4">
        <v>1</v>
      </c>
      <c r="G24" s="5">
        <v>46239</v>
      </c>
      <c r="H24" s="5">
        <v>46239</v>
      </c>
      <c r="I24" s="4" t="s">
        <v>17</v>
      </c>
      <c r="J24" s="5">
        <v>46226</v>
      </c>
      <c r="K24" s="4" t="s">
        <v>43</v>
      </c>
      <c r="M24" s="6">
        <f t="shared" si="0"/>
        <v>1</v>
      </c>
      <c r="N24" s="4" t="str">
        <f t="shared" si="1"/>
        <v>Em aberto</v>
      </c>
    </row>
    <row r="25" spans="1:14">
      <c r="A25" s="4" t="s">
        <v>69</v>
      </c>
      <c r="B25" s="4" t="s">
        <v>42</v>
      </c>
      <c r="C25" s="4" t="s">
        <v>23</v>
      </c>
      <c r="D25" s="4">
        <v>1</v>
      </c>
      <c r="E25" s="4">
        <v>1</v>
      </c>
      <c r="F25" s="4">
        <v>1</v>
      </c>
      <c r="G25" s="5">
        <v>46239</v>
      </c>
      <c r="H25" s="5">
        <v>46239</v>
      </c>
      <c r="I25" s="4" t="s">
        <v>17</v>
      </c>
      <c r="J25" s="5">
        <v>46226</v>
      </c>
      <c r="K25" s="4" t="s">
        <v>43</v>
      </c>
      <c r="M25" s="6">
        <f t="shared" si="0"/>
        <v>1</v>
      </c>
      <c r="N25" s="4" t="str">
        <f t="shared" si="1"/>
        <v>Em aberto</v>
      </c>
    </row>
    <row r="26" spans="1:14">
      <c r="A26" s="4" t="s">
        <v>70</v>
      </c>
      <c r="B26" s="4" t="s">
        <v>42</v>
      </c>
      <c r="C26" s="4" t="s">
        <v>23</v>
      </c>
      <c r="D26" s="4">
        <v>1</v>
      </c>
      <c r="E26" s="4">
        <v>1</v>
      </c>
      <c r="F26" s="4">
        <v>1</v>
      </c>
      <c r="G26" s="5">
        <v>46239</v>
      </c>
      <c r="H26" s="5">
        <v>46239</v>
      </c>
      <c r="I26" s="4" t="s">
        <v>17</v>
      </c>
      <c r="J26" s="5">
        <v>46226</v>
      </c>
      <c r="K26" s="4" t="s">
        <v>43</v>
      </c>
      <c r="M26" s="6">
        <f t="shared" si="0"/>
        <v>1</v>
      </c>
      <c r="N26" s="4" t="str">
        <f t="shared" si="1"/>
        <v>Em aberto</v>
      </c>
    </row>
    <row r="27" spans="1:14">
      <c r="A27" s="4" t="s">
        <v>71</v>
      </c>
      <c r="B27" s="4" t="s">
        <v>42</v>
      </c>
      <c r="C27" s="4" t="s">
        <v>23</v>
      </c>
      <c r="D27" s="4">
        <v>1</v>
      </c>
      <c r="E27" s="4">
        <v>1</v>
      </c>
      <c r="F27" s="4">
        <v>1</v>
      </c>
      <c r="G27" s="5">
        <v>46239</v>
      </c>
      <c r="H27" s="5">
        <v>46239</v>
      </c>
      <c r="I27" s="4" t="s">
        <v>17</v>
      </c>
      <c r="J27" s="5">
        <v>46226</v>
      </c>
      <c r="K27" s="4" t="s">
        <v>43</v>
      </c>
      <c r="M27" s="6">
        <f t="shared" si="0"/>
        <v>1</v>
      </c>
      <c r="N27" s="4" t="str">
        <f t="shared" si="1"/>
        <v>Em aberto</v>
      </c>
    </row>
    <row r="28" spans="1:14">
      <c r="A28" s="4" t="s">
        <v>72</v>
      </c>
      <c r="B28" s="4" t="s">
        <v>42</v>
      </c>
      <c r="C28" s="4" t="s">
        <v>23</v>
      </c>
      <c r="D28" s="4">
        <v>1</v>
      </c>
      <c r="E28" s="4">
        <v>1</v>
      </c>
      <c r="F28" s="4">
        <v>1</v>
      </c>
      <c r="G28" s="5">
        <v>46239</v>
      </c>
      <c r="H28" s="5">
        <v>46239</v>
      </c>
      <c r="I28" s="4" t="s">
        <v>17</v>
      </c>
      <c r="J28" s="5">
        <v>46226</v>
      </c>
      <c r="K28" s="4" t="s">
        <v>43</v>
      </c>
      <c r="M28" s="6">
        <f t="shared" si="0"/>
        <v>1</v>
      </c>
      <c r="N28" s="4" t="str">
        <f t="shared" si="1"/>
        <v>Em aberto</v>
      </c>
    </row>
    <row r="29" spans="1:14">
      <c r="A29" s="4" t="s">
        <v>73</v>
      </c>
      <c r="B29" s="4" t="s">
        <v>42</v>
      </c>
      <c r="C29" s="4" t="s">
        <v>23</v>
      </c>
      <c r="D29" s="4">
        <v>1</v>
      </c>
      <c r="E29" s="4">
        <v>1</v>
      </c>
      <c r="F29" s="4">
        <v>1</v>
      </c>
      <c r="G29" s="5">
        <v>46239</v>
      </c>
      <c r="H29" s="5">
        <v>46239</v>
      </c>
      <c r="I29" s="4" t="s">
        <v>17</v>
      </c>
      <c r="J29" s="5">
        <v>46226</v>
      </c>
      <c r="K29" s="4" t="s">
        <v>43</v>
      </c>
      <c r="M29" s="6">
        <f t="shared" si="0"/>
        <v>1</v>
      </c>
      <c r="N29" s="4" t="str">
        <f t="shared" si="1"/>
        <v>Em aberto</v>
      </c>
    </row>
    <row r="30" spans="1:14">
      <c r="A30" s="4" t="s">
        <v>74</v>
      </c>
      <c r="B30" s="4" t="s">
        <v>75</v>
      </c>
      <c r="C30" s="4" t="s">
        <v>20</v>
      </c>
      <c r="D30" s="4">
        <v>1</v>
      </c>
      <c r="E30" s="4">
        <v>1</v>
      </c>
      <c r="F30" s="4">
        <v>1</v>
      </c>
      <c r="G30" s="5">
        <v>46239</v>
      </c>
      <c r="H30" s="5">
        <v>46239</v>
      </c>
      <c r="I30" s="4" t="s">
        <v>17</v>
      </c>
      <c r="J30" s="5">
        <v>46233</v>
      </c>
      <c r="K30" s="4" t="s">
        <v>43</v>
      </c>
      <c r="M30" s="6">
        <f t="shared" si="0"/>
        <v>1</v>
      </c>
      <c r="N30" s="4" t="str">
        <f t="shared" si="1"/>
        <v>Em aberto</v>
      </c>
    </row>
    <row r="31" spans="1:14">
      <c r="A31" s="4" t="s">
        <v>76</v>
      </c>
      <c r="B31" s="4" t="s">
        <v>42</v>
      </c>
      <c r="C31" s="4" t="s">
        <v>23</v>
      </c>
      <c r="D31" s="4">
        <v>1</v>
      </c>
      <c r="E31" s="4">
        <v>1</v>
      </c>
      <c r="F31" s="4">
        <v>1</v>
      </c>
      <c r="G31" s="5">
        <v>46240</v>
      </c>
      <c r="H31" s="5">
        <v>46240</v>
      </c>
      <c r="I31" s="4" t="s">
        <v>17</v>
      </c>
      <c r="J31" s="5">
        <v>46226</v>
      </c>
      <c r="K31" s="4" t="s">
        <v>43</v>
      </c>
      <c r="M31" s="6">
        <f t="shared" si="0"/>
        <v>1</v>
      </c>
      <c r="N31" s="4" t="str">
        <f t="shared" si="1"/>
        <v>Em aberto</v>
      </c>
    </row>
    <row r="32" spans="1:14">
      <c r="A32" s="4" t="s">
        <v>77</v>
      </c>
      <c r="B32" s="4" t="s">
        <v>42</v>
      </c>
      <c r="C32" s="4" t="s">
        <v>23</v>
      </c>
      <c r="D32" s="4">
        <v>1</v>
      </c>
      <c r="E32" s="4">
        <v>1</v>
      </c>
      <c r="F32" s="4">
        <v>1</v>
      </c>
      <c r="G32" s="5">
        <v>46240</v>
      </c>
      <c r="H32" s="5">
        <v>46240</v>
      </c>
      <c r="I32" s="4" t="s">
        <v>17</v>
      </c>
      <c r="J32" s="5">
        <v>46226</v>
      </c>
      <c r="K32" s="4" t="s">
        <v>43</v>
      </c>
      <c r="M32" s="6">
        <f t="shared" si="0"/>
        <v>1</v>
      </c>
      <c r="N32" s="4" t="str">
        <f t="shared" si="1"/>
        <v>Em aberto</v>
      </c>
    </row>
    <row r="33" spans="1:14">
      <c r="A33" s="4" t="s">
        <v>78</v>
      </c>
      <c r="B33" s="4" t="s">
        <v>42</v>
      </c>
      <c r="C33" s="4" t="s">
        <v>23</v>
      </c>
      <c r="D33" s="4">
        <v>1</v>
      </c>
      <c r="E33" s="4">
        <v>1</v>
      </c>
      <c r="F33" s="4">
        <v>1</v>
      </c>
      <c r="G33" s="5">
        <v>46240</v>
      </c>
      <c r="H33" s="5">
        <v>46240</v>
      </c>
      <c r="I33" s="4" t="s">
        <v>17</v>
      </c>
      <c r="J33" s="5">
        <v>46226</v>
      </c>
      <c r="K33" s="4" t="s">
        <v>43</v>
      </c>
      <c r="M33" s="6">
        <f t="shared" si="0"/>
        <v>1</v>
      </c>
      <c r="N33" s="4" t="str">
        <f t="shared" si="1"/>
        <v>Em aberto</v>
      </c>
    </row>
    <row r="34" spans="1:14">
      <c r="A34" s="4" t="s">
        <v>79</v>
      </c>
      <c r="B34" s="4" t="s">
        <v>42</v>
      </c>
      <c r="C34" s="4" t="s">
        <v>23</v>
      </c>
      <c r="D34" s="4">
        <v>1</v>
      </c>
      <c r="E34" s="4">
        <v>1</v>
      </c>
      <c r="F34" s="4">
        <v>1</v>
      </c>
      <c r="G34" s="5">
        <v>46240</v>
      </c>
      <c r="H34" s="5">
        <v>46240</v>
      </c>
      <c r="I34" s="4" t="s">
        <v>17</v>
      </c>
      <c r="J34" s="5">
        <v>46226</v>
      </c>
      <c r="K34" s="4" t="s">
        <v>43</v>
      </c>
      <c r="M34" s="6">
        <f t="shared" ref="M34:M65" si="2">IF(D34=0,0,F34/D34)</f>
        <v>1</v>
      </c>
      <c r="N34" s="4" t="str">
        <f t="shared" ref="N34:N65" si="3">IF(I34&lt;&gt;"Encerrada","Em aberto",IF(H34&lt;=G34,"Sim","Não"))</f>
        <v>Em aberto</v>
      </c>
    </row>
    <row r="35" spans="1:14">
      <c r="A35" s="4" t="s">
        <v>80</v>
      </c>
      <c r="B35" s="4" t="s">
        <v>42</v>
      </c>
      <c r="C35" s="4" t="s">
        <v>23</v>
      </c>
      <c r="D35" s="4">
        <v>1</v>
      </c>
      <c r="E35" s="4">
        <v>1</v>
      </c>
      <c r="F35" s="4">
        <v>1</v>
      </c>
      <c r="G35" s="5">
        <v>46240</v>
      </c>
      <c r="H35" s="5">
        <v>46240</v>
      </c>
      <c r="I35" s="4" t="s">
        <v>17</v>
      </c>
      <c r="J35" s="5">
        <v>46226</v>
      </c>
      <c r="K35" s="4" t="s">
        <v>43</v>
      </c>
      <c r="M35" s="6">
        <f t="shared" si="2"/>
        <v>1</v>
      </c>
      <c r="N35" s="4" t="str">
        <f t="shared" si="3"/>
        <v>Em aberto</v>
      </c>
    </row>
    <row r="36" spans="1:14">
      <c r="A36" s="4" t="s">
        <v>81</v>
      </c>
      <c r="B36" s="4" t="s">
        <v>42</v>
      </c>
      <c r="C36" s="4" t="s">
        <v>23</v>
      </c>
      <c r="D36" s="4">
        <v>1</v>
      </c>
      <c r="E36" s="4">
        <v>1</v>
      </c>
      <c r="F36" s="4">
        <v>1</v>
      </c>
      <c r="G36" s="5">
        <v>46240</v>
      </c>
      <c r="H36" s="5">
        <v>46240</v>
      </c>
      <c r="I36" s="4" t="s">
        <v>17</v>
      </c>
      <c r="J36" s="5">
        <v>46226</v>
      </c>
      <c r="K36" s="4" t="s">
        <v>43</v>
      </c>
      <c r="M36" s="6">
        <f t="shared" si="2"/>
        <v>1</v>
      </c>
      <c r="N36" s="4" t="str">
        <f t="shared" si="3"/>
        <v>Em aberto</v>
      </c>
    </row>
    <row r="37" spans="1:14">
      <c r="A37" s="4" t="s">
        <v>82</v>
      </c>
      <c r="B37" s="4" t="s">
        <v>42</v>
      </c>
      <c r="C37" s="4" t="s">
        <v>23</v>
      </c>
      <c r="D37" s="4">
        <v>1</v>
      </c>
      <c r="E37" s="4">
        <v>1</v>
      </c>
      <c r="F37" s="4">
        <v>1</v>
      </c>
      <c r="G37" s="5">
        <v>46241</v>
      </c>
      <c r="H37" s="5">
        <v>46241</v>
      </c>
      <c r="I37" s="4" t="s">
        <v>17</v>
      </c>
      <c r="J37" s="5">
        <v>46226</v>
      </c>
      <c r="K37" s="4" t="s">
        <v>43</v>
      </c>
      <c r="M37" s="6">
        <f t="shared" si="2"/>
        <v>1</v>
      </c>
      <c r="N37" s="4" t="str">
        <f t="shared" si="3"/>
        <v>Em aberto</v>
      </c>
    </row>
    <row r="38" spans="1:14">
      <c r="A38" s="4" t="s">
        <v>83</v>
      </c>
      <c r="B38" s="4" t="s">
        <v>42</v>
      </c>
      <c r="C38" s="4" t="s">
        <v>23</v>
      </c>
      <c r="D38" s="4">
        <v>1</v>
      </c>
      <c r="E38" s="4">
        <v>1</v>
      </c>
      <c r="F38" s="4">
        <v>1</v>
      </c>
      <c r="G38" s="5">
        <v>46241</v>
      </c>
      <c r="H38" s="5">
        <v>46241</v>
      </c>
      <c r="I38" s="4" t="s">
        <v>17</v>
      </c>
      <c r="J38" s="5">
        <v>46226</v>
      </c>
      <c r="K38" s="4" t="s">
        <v>43</v>
      </c>
      <c r="M38" s="6">
        <f t="shared" si="2"/>
        <v>1</v>
      </c>
      <c r="N38" s="4" t="str">
        <f t="shared" si="3"/>
        <v>Em aberto</v>
      </c>
    </row>
    <row r="39" spans="1:14">
      <c r="A39" s="4" t="s">
        <v>84</v>
      </c>
      <c r="B39" s="4" t="s">
        <v>42</v>
      </c>
      <c r="C39" s="4" t="s">
        <v>23</v>
      </c>
      <c r="D39" s="4">
        <v>1</v>
      </c>
      <c r="E39" s="4">
        <v>1</v>
      </c>
      <c r="F39" s="4">
        <v>1</v>
      </c>
      <c r="G39" s="5">
        <v>46241</v>
      </c>
      <c r="H39" s="5">
        <v>46241</v>
      </c>
      <c r="I39" s="4" t="s">
        <v>17</v>
      </c>
      <c r="J39" s="5">
        <v>46226</v>
      </c>
      <c r="K39" s="4" t="s">
        <v>43</v>
      </c>
      <c r="M39" s="6">
        <f t="shared" si="2"/>
        <v>1</v>
      </c>
      <c r="N39" s="4" t="str">
        <f t="shared" si="3"/>
        <v>Em aberto</v>
      </c>
    </row>
    <row r="40" spans="1:14">
      <c r="A40" s="4" t="s">
        <v>85</v>
      </c>
      <c r="B40" s="4" t="s">
        <v>42</v>
      </c>
      <c r="C40" s="4" t="s">
        <v>23</v>
      </c>
      <c r="D40" s="4">
        <v>1</v>
      </c>
      <c r="E40" s="4">
        <v>1</v>
      </c>
      <c r="F40" s="4">
        <v>1</v>
      </c>
      <c r="G40" s="5">
        <v>46241</v>
      </c>
      <c r="H40" s="5">
        <v>46241</v>
      </c>
      <c r="I40" s="4" t="s">
        <v>17</v>
      </c>
      <c r="J40" s="5">
        <v>46226</v>
      </c>
      <c r="K40" s="4" t="s">
        <v>43</v>
      </c>
      <c r="M40" s="6">
        <f t="shared" si="2"/>
        <v>1</v>
      </c>
      <c r="N40" s="4" t="str">
        <f t="shared" si="3"/>
        <v>Em aberto</v>
      </c>
    </row>
    <row r="41" spans="1:14">
      <c r="A41" s="4" t="s">
        <v>86</v>
      </c>
      <c r="B41" s="4" t="s">
        <v>42</v>
      </c>
      <c r="C41" s="4" t="s">
        <v>23</v>
      </c>
      <c r="D41" s="4">
        <v>1</v>
      </c>
      <c r="E41" s="4">
        <v>1</v>
      </c>
      <c r="F41" s="4">
        <v>1</v>
      </c>
      <c r="G41" s="5">
        <v>46241</v>
      </c>
      <c r="H41" s="5">
        <v>46241</v>
      </c>
      <c r="I41" s="4" t="s">
        <v>17</v>
      </c>
      <c r="J41" s="5">
        <v>46226</v>
      </c>
      <c r="K41" s="4" t="s">
        <v>43</v>
      </c>
      <c r="M41" s="6">
        <f t="shared" si="2"/>
        <v>1</v>
      </c>
      <c r="N41" s="4" t="str">
        <f t="shared" si="3"/>
        <v>Em aberto</v>
      </c>
    </row>
    <row r="42" spans="1:14">
      <c r="A42" s="4" t="s">
        <v>87</v>
      </c>
      <c r="B42" s="4" t="s">
        <v>42</v>
      </c>
      <c r="C42" s="4" t="s">
        <v>23</v>
      </c>
      <c r="D42" s="4">
        <v>1</v>
      </c>
      <c r="E42" s="4">
        <v>1</v>
      </c>
      <c r="F42" s="4">
        <v>1</v>
      </c>
      <c r="G42" s="5">
        <v>46241</v>
      </c>
      <c r="H42" s="5">
        <v>46241</v>
      </c>
      <c r="I42" s="4" t="s">
        <v>17</v>
      </c>
      <c r="J42" s="5">
        <v>46226</v>
      </c>
      <c r="K42" s="4" t="s">
        <v>43</v>
      </c>
      <c r="M42" s="6">
        <f t="shared" si="2"/>
        <v>1</v>
      </c>
      <c r="N42" s="4" t="str">
        <f t="shared" si="3"/>
        <v>Em aberto</v>
      </c>
    </row>
    <row r="43" spans="1:14">
      <c r="A43" s="4" t="s">
        <v>88</v>
      </c>
      <c r="B43" s="4" t="s">
        <v>42</v>
      </c>
      <c r="C43" s="4" t="s">
        <v>23</v>
      </c>
      <c r="D43" s="4">
        <v>1</v>
      </c>
      <c r="E43" s="4">
        <v>1</v>
      </c>
      <c r="F43" s="4">
        <v>1</v>
      </c>
      <c r="G43" s="5">
        <v>46244</v>
      </c>
      <c r="H43" s="5">
        <v>46244</v>
      </c>
      <c r="I43" s="4" t="s">
        <v>17</v>
      </c>
      <c r="J43" s="5">
        <v>46226</v>
      </c>
      <c r="K43" s="4" t="s">
        <v>43</v>
      </c>
      <c r="M43" s="6">
        <f t="shared" si="2"/>
        <v>1</v>
      </c>
      <c r="N43" s="4" t="str">
        <f t="shared" si="3"/>
        <v>Em aberto</v>
      </c>
    </row>
    <row r="44" spans="1:14">
      <c r="A44" s="4" t="s">
        <v>89</v>
      </c>
      <c r="B44" s="4" t="s">
        <v>42</v>
      </c>
      <c r="C44" s="4" t="s">
        <v>23</v>
      </c>
      <c r="D44" s="4">
        <v>1</v>
      </c>
      <c r="E44" s="4">
        <v>1</v>
      </c>
      <c r="F44" s="4">
        <v>1</v>
      </c>
      <c r="G44" s="5">
        <v>46244</v>
      </c>
      <c r="H44" s="5">
        <v>46244</v>
      </c>
      <c r="I44" s="4" t="s">
        <v>17</v>
      </c>
      <c r="J44" s="5">
        <v>46226</v>
      </c>
      <c r="K44" s="4" t="s">
        <v>43</v>
      </c>
      <c r="M44" s="6">
        <f t="shared" si="2"/>
        <v>1</v>
      </c>
      <c r="N44" s="4" t="str">
        <f t="shared" si="3"/>
        <v>Em aberto</v>
      </c>
    </row>
    <row r="45" spans="1:14">
      <c r="A45" s="4" t="s">
        <v>90</v>
      </c>
      <c r="B45" s="4" t="s">
        <v>42</v>
      </c>
      <c r="C45" s="4" t="s">
        <v>23</v>
      </c>
      <c r="D45" s="4">
        <v>1</v>
      </c>
      <c r="E45" s="4">
        <v>1</v>
      </c>
      <c r="F45" s="4">
        <v>1</v>
      </c>
      <c r="G45" s="5">
        <v>46244</v>
      </c>
      <c r="H45" s="5">
        <v>46244</v>
      </c>
      <c r="I45" s="4" t="s">
        <v>17</v>
      </c>
      <c r="J45" s="5">
        <v>46226</v>
      </c>
      <c r="K45" s="4" t="s">
        <v>43</v>
      </c>
      <c r="M45" s="6">
        <f t="shared" si="2"/>
        <v>1</v>
      </c>
      <c r="N45" s="4" t="str">
        <f t="shared" si="3"/>
        <v>Em aberto</v>
      </c>
    </row>
    <row r="46" spans="1:14">
      <c r="A46" s="4" t="s">
        <v>91</v>
      </c>
      <c r="B46" s="4" t="s">
        <v>42</v>
      </c>
      <c r="C46" s="4" t="s">
        <v>23</v>
      </c>
      <c r="D46" s="4">
        <v>1</v>
      </c>
      <c r="E46" s="4">
        <v>1</v>
      </c>
      <c r="F46" s="4">
        <v>1</v>
      </c>
      <c r="G46" s="5">
        <v>46244</v>
      </c>
      <c r="H46" s="5">
        <v>46244</v>
      </c>
      <c r="I46" s="4" t="s">
        <v>17</v>
      </c>
      <c r="J46" s="5">
        <v>46226</v>
      </c>
      <c r="K46" s="4" t="s">
        <v>43</v>
      </c>
      <c r="M46" s="6">
        <f t="shared" si="2"/>
        <v>1</v>
      </c>
      <c r="N46" s="4" t="str">
        <f t="shared" si="3"/>
        <v>Em aberto</v>
      </c>
    </row>
    <row r="47" spans="1:14">
      <c r="A47" s="4" t="s">
        <v>92</v>
      </c>
      <c r="B47" s="4" t="s">
        <v>42</v>
      </c>
      <c r="C47" s="4" t="s">
        <v>23</v>
      </c>
      <c r="D47" s="4">
        <v>1</v>
      </c>
      <c r="E47" s="4">
        <v>1</v>
      </c>
      <c r="F47" s="4">
        <v>1</v>
      </c>
      <c r="G47" s="5">
        <v>46244</v>
      </c>
      <c r="H47" s="5">
        <v>46244</v>
      </c>
      <c r="I47" s="4" t="s">
        <v>17</v>
      </c>
      <c r="J47" s="5">
        <v>46226</v>
      </c>
      <c r="K47" s="4" t="s">
        <v>43</v>
      </c>
      <c r="M47" s="6">
        <f t="shared" si="2"/>
        <v>1</v>
      </c>
      <c r="N47" s="4" t="str">
        <f t="shared" si="3"/>
        <v>Em aberto</v>
      </c>
    </row>
    <row r="48" spans="1:14">
      <c r="A48" s="4" t="s">
        <v>93</v>
      </c>
      <c r="B48" s="4" t="s">
        <v>42</v>
      </c>
      <c r="C48" s="4" t="s">
        <v>23</v>
      </c>
      <c r="D48" s="4">
        <v>1</v>
      </c>
      <c r="E48" s="4">
        <v>1</v>
      </c>
      <c r="F48" s="4">
        <v>1</v>
      </c>
      <c r="G48" s="5">
        <v>46244</v>
      </c>
      <c r="H48" s="5">
        <v>46244</v>
      </c>
      <c r="I48" s="4" t="s">
        <v>17</v>
      </c>
      <c r="J48" s="5">
        <v>46226</v>
      </c>
      <c r="K48" s="4" t="s">
        <v>43</v>
      </c>
      <c r="M48" s="6">
        <f t="shared" si="2"/>
        <v>1</v>
      </c>
      <c r="N48" s="4" t="str">
        <f t="shared" si="3"/>
        <v>Em aberto</v>
      </c>
    </row>
    <row r="49" spans="1:14">
      <c r="A49" s="4" t="s">
        <v>94</v>
      </c>
      <c r="B49" s="4" t="s">
        <v>42</v>
      </c>
      <c r="C49" s="4" t="s">
        <v>23</v>
      </c>
      <c r="D49" s="4">
        <v>1</v>
      </c>
      <c r="E49" s="4">
        <v>1</v>
      </c>
      <c r="F49" s="4">
        <v>1</v>
      </c>
      <c r="G49" s="5">
        <v>46245</v>
      </c>
      <c r="H49" s="5">
        <v>46245</v>
      </c>
      <c r="I49" s="4" t="s">
        <v>17</v>
      </c>
      <c r="J49" s="5">
        <v>46226</v>
      </c>
      <c r="K49" s="4" t="s">
        <v>43</v>
      </c>
      <c r="M49" s="6">
        <f t="shared" si="2"/>
        <v>1</v>
      </c>
      <c r="N49" s="4" t="str">
        <f t="shared" si="3"/>
        <v>Em aberto</v>
      </c>
    </row>
    <row r="50" spans="1:14">
      <c r="A50" s="4" t="s">
        <v>95</v>
      </c>
      <c r="B50" s="4" t="s">
        <v>42</v>
      </c>
      <c r="C50" s="4" t="s">
        <v>23</v>
      </c>
      <c r="D50" s="4">
        <v>1</v>
      </c>
      <c r="E50" s="4">
        <v>1</v>
      </c>
      <c r="F50" s="4">
        <v>1</v>
      </c>
      <c r="G50" s="5">
        <v>46245</v>
      </c>
      <c r="H50" s="5">
        <v>46245</v>
      </c>
      <c r="I50" s="4" t="s">
        <v>17</v>
      </c>
      <c r="J50" s="5">
        <v>46226</v>
      </c>
      <c r="K50" s="4" t="s">
        <v>43</v>
      </c>
      <c r="M50" s="6">
        <f t="shared" si="2"/>
        <v>1</v>
      </c>
      <c r="N50" s="4" t="str">
        <f t="shared" si="3"/>
        <v>Em aberto</v>
      </c>
    </row>
    <row r="51" spans="1:14">
      <c r="A51" s="4" t="s">
        <v>96</v>
      </c>
      <c r="B51" s="4" t="s">
        <v>42</v>
      </c>
      <c r="C51" s="4" t="s">
        <v>23</v>
      </c>
      <c r="D51" s="4">
        <v>1</v>
      </c>
      <c r="E51" s="4">
        <v>1</v>
      </c>
      <c r="F51" s="4">
        <v>1</v>
      </c>
      <c r="G51" s="5">
        <v>46245</v>
      </c>
      <c r="H51" s="5">
        <v>46245</v>
      </c>
      <c r="I51" s="4" t="s">
        <v>17</v>
      </c>
      <c r="J51" s="5">
        <v>46226</v>
      </c>
      <c r="K51" s="4" t="s">
        <v>43</v>
      </c>
      <c r="M51" s="6">
        <f t="shared" si="2"/>
        <v>1</v>
      </c>
      <c r="N51" s="4" t="str">
        <f t="shared" si="3"/>
        <v>Em aberto</v>
      </c>
    </row>
    <row r="52" spans="1:14">
      <c r="A52" s="4" t="s">
        <v>97</v>
      </c>
      <c r="B52" s="4" t="s">
        <v>42</v>
      </c>
      <c r="C52" s="4" t="s">
        <v>23</v>
      </c>
      <c r="D52" s="4">
        <v>1</v>
      </c>
      <c r="E52" s="4">
        <v>1</v>
      </c>
      <c r="F52" s="4">
        <v>1</v>
      </c>
      <c r="G52" s="5">
        <v>46245</v>
      </c>
      <c r="H52" s="5">
        <v>46245</v>
      </c>
      <c r="I52" s="4" t="s">
        <v>17</v>
      </c>
      <c r="J52" s="5">
        <v>46226</v>
      </c>
      <c r="K52" s="4" t="s">
        <v>43</v>
      </c>
      <c r="M52" s="6">
        <f t="shared" si="2"/>
        <v>1</v>
      </c>
      <c r="N52" s="4" t="str">
        <f t="shared" si="3"/>
        <v>Em aberto</v>
      </c>
    </row>
    <row r="53" spans="1:14">
      <c r="A53" s="4" t="s">
        <v>98</v>
      </c>
      <c r="B53" s="4" t="s">
        <v>42</v>
      </c>
      <c r="C53" s="4" t="s">
        <v>23</v>
      </c>
      <c r="D53" s="4">
        <v>1</v>
      </c>
      <c r="E53" s="4">
        <v>1</v>
      </c>
      <c r="F53" s="4">
        <v>1</v>
      </c>
      <c r="G53" s="5">
        <v>46245</v>
      </c>
      <c r="H53" s="5">
        <v>46245</v>
      </c>
      <c r="I53" s="4" t="s">
        <v>17</v>
      </c>
      <c r="J53" s="5">
        <v>46226</v>
      </c>
      <c r="K53" s="4" t="s">
        <v>43</v>
      </c>
      <c r="M53" s="6">
        <f t="shared" si="2"/>
        <v>1</v>
      </c>
      <c r="N53" s="4" t="str">
        <f t="shared" si="3"/>
        <v>Em aberto</v>
      </c>
    </row>
    <row r="54" spans="1:14">
      <c r="A54" s="4" t="s">
        <v>99</v>
      </c>
      <c r="B54" s="4" t="s">
        <v>42</v>
      </c>
      <c r="C54" s="4" t="s">
        <v>23</v>
      </c>
      <c r="D54" s="4">
        <v>1</v>
      </c>
      <c r="E54" s="4">
        <v>1</v>
      </c>
      <c r="F54" s="4">
        <v>1</v>
      </c>
      <c r="G54" s="5">
        <v>46245</v>
      </c>
      <c r="H54" s="5">
        <v>46245</v>
      </c>
      <c r="I54" s="4" t="s">
        <v>17</v>
      </c>
      <c r="J54" s="5">
        <v>46226</v>
      </c>
      <c r="K54" s="4" t="s">
        <v>43</v>
      </c>
      <c r="M54" s="6">
        <f t="shared" si="2"/>
        <v>1</v>
      </c>
      <c r="N54" s="4" t="str">
        <f t="shared" si="3"/>
        <v>Em aberto</v>
      </c>
    </row>
    <row r="55" spans="1:14">
      <c r="A55" s="4" t="s">
        <v>100</v>
      </c>
      <c r="B55" s="4" t="s">
        <v>42</v>
      </c>
      <c r="C55" s="4" t="s">
        <v>23</v>
      </c>
      <c r="D55" s="4">
        <v>1</v>
      </c>
      <c r="E55" s="4">
        <v>0</v>
      </c>
      <c r="F55" s="4">
        <v>0</v>
      </c>
      <c r="G55" s="5">
        <v>46247</v>
      </c>
      <c r="H55" s="5">
        <v>46247</v>
      </c>
      <c r="I55" s="4" t="s">
        <v>19</v>
      </c>
      <c r="J55" s="5">
        <v>46219</v>
      </c>
      <c r="K55" s="4" t="s">
        <v>43</v>
      </c>
      <c r="M55" s="6">
        <f t="shared" si="2"/>
        <v>0</v>
      </c>
      <c r="N55" s="4" t="str">
        <f t="shared" si="3"/>
        <v>Em aberto</v>
      </c>
    </row>
    <row r="56" spans="1:14">
      <c r="A56" s="4" t="s">
        <v>101</v>
      </c>
      <c r="B56" s="4" t="s">
        <v>42</v>
      </c>
      <c r="C56" s="4" t="s">
        <v>23</v>
      </c>
      <c r="D56" s="4">
        <v>1</v>
      </c>
      <c r="E56" s="4">
        <v>1</v>
      </c>
      <c r="F56" s="4">
        <v>1</v>
      </c>
      <c r="G56" s="5">
        <v>46247</v>
      </c>
      <c r="H56" s="5">
        <v>46247</v>
      </c>
      <c r="I56" s="4" t="s">
        <v>17</v>
      </c>
      <c r="J56" s="5">
        <v>46219</v>
      </c>
      <c r="K56" s="4" t="s">
        <v>43</v>
      </c>
      <c r="M56" s="6">
        <f t="shared" si="2"/>
        <v>1</v>
      </c>
      <c r="N56" s="4" t="str">
        <f t="shared" si="3"/>
        <v>Em aberto</v>
      </c>
    </row>
    <row r="57" spans="1:14">
      <c r="A57" s="4" t="s">
        <v>102</v>
      </c>
      <c r="B57" s="4" t="s">
        <v>42</v>
      </c>
      <c r="C57" s="4" t="s">
        <v>23</v>
      </c>
      <c r="D57" s="4">
        <v>1</v>
      </c>
      <c r="E57" s="4">
        <v>0</v>
      </c>
      <c r="F57" s="4">
        <v>0</v>
      </c>
      <c r="G57" s="5">
        <v>46247</v>
      </c>
      <c r="H57" s="5">
        <v>46247</v>
      </c>
      <c r="I57" s="4" t="s">
        <v>19</v>
      </c>
      <c r="J57" s="5">
        <v>46227</v>
      </c>
      <c r="K57" s="4" t="s">
        <v>43</v>
      </c>
      <c r="M57" s="6">
        <f t="shared" si="2"/>
        <v>0</v>
      </c>
      <c r="N57" s="4" t="str">
        <f t="shared" si="3"/>
        <v>Em aberto</v>
      </c>
    </row>
    <row r="58" spans="1:14">
      <c r="A58" s="4" t="s">
        <v>103</v>
      </c>
      <c r="B58" s="4" t="s">
        <v>42</v>
      </c>
      <c r="C58" s="4" t="s">
        <v>23</v>
      </c>
      <c r="D58" s="4">
        <v>1</v>
      </c>
      <c r="E58" s="4">
        <v>0</v>
      </c>
      <c r="F58" s="4">
        <v>0</v>
      </c>
      <c r="G58" s="5">
        <v>46247</v>
      </c>
      <c r="H58" s="5">
        <v>46247</v>
      </c>
      <c r="I58" s="4" t="s">
        <v>19</v>
      </c>
      <c r="J58" s="5">
        <v>46227</v>
      </c>
      <c r="K58" s="4" t="s">
        <v>43</v>
      </c>
      <c r="M58" s="6">
        <f t="shared" si="2"/>
        <v>0</v>
      </c>
      <c r="N58" s="4" t="str">
        <f t="shared" si="3"/>
        <v>Em aberto</v>
      </c>
    </row>
    <row r="59" spans="1:14">
      <c r="A59" s="4" t="s">
        <v>104</v>
      </c>
      <c r="B59" s="4" t="s">
        <v>42</v>
      </c>
      <c r="C59" s="4" t="s">
        <v>23</v>
      </c>
      <c r="D59" s="4">
        <v>1</v>
      </c>
      <c r="E59" s="4">
        <v>0</v>
      </c>
      <c r="F59" s="4">
        <v>0</v>
      </c>
      <c r="G59" s="5">
        <v>46247</v>
      </c>
      <c r="H59" s="5">
        <v>46247</v>
      </c>
      <c r="I59" s="4" t="s">
        <v>19</v>
      </c>
      <c r="J59" s="5">
        <v>46227</v>
      </c>
      <c r="K59" s="4" t="s">
        <v>43</v>
      </c>
      <c r="M59" s="6">
        <f t="shared" si="2"/>
        <v>0</v>
      </c>
      <c r="N59" s="4" t="str">
        <f t="shared" si="3"/>
        <v>Em aberto</v>
      </c>
    </row>
    <row r="60" spans="1:14">
      <c r="A60" s="4" t="s">
        <v>105</v>
      </c>
      <c r="B60" s="4" t="s">
        <v>42</v>
      </c>
      <c r="C60" s="4" t="s">
        <v>23</v>
      </c>
      <c r="D60" s="4">
        <v>1</v>
      </c>
      <c r="E60" s="4">
        <v>0</v>
      </c>
      <c r="F60" s="4">
        <v>0</v>
      </c>
      <c r="G60" s="5">
        <v>46247</v>
      </c>
      <c r="H60" s="5">
        <v>46247</v>
      </c>
      <c r="I60" s="4" t="s">
        <v>19</v>
      </c>
      <c r="J60" s="5">
        <v>46227</v>
      </c>
      <c r="K60" s="4" t="s">
        <v>43</v>
      </c>
      <c r="M60" s="6">
        <f t="shared" si="2"/>
        <v>0</v>
      </c>
      <c r="N60" s="4" t="str">
        <f t="shared" si="3"/>
        <v>Em aberto</v>
      </c>
    </row>
    <row r="61" spans="1:14">
      <c r="A61" s="4" t="s">
        <v>106</v>
      </c>
      <c r="B61" s="4" t="s">
        <v>42</v>
      </c>
      <c r="C61" s="4" t="s">
        <v>23</v>
      </c>
      <c r="D61" s="4">
        <v>1</v>
      </c>
      <c r="E61" s="4">
        <v>0</v>
      </c>
      <c r="F61" s="4">
        <v>0</v>
      </c>
      <c r="G61" s="5">
        <v>46248</v>
      </c>
      <c r="H61" s="5">
        <v>46248</v>
      </c>
      <c r="I61" s="4" t="s">
        <v>19</v>
      </c>
      <c r="J61" s="5">
        <v>46237</v>
      </c>
      <c r="K61" s="4" t="s">
        <v>43</v>
      </c>
      <c r="M61" s="6">
        <f t="shared" si="2"/>
        <v>0</v>
      </c>
      <c r="N61" s="4" t="str">
        <f t="shared" si="3"/>
        <v>Em aberto</v>
      </c>
    </row>
    <row r="62" spans="1:14">
      <c r="A62" s="4" t="s">
        <v>107</v>
      </c>
      <c r="B62" s="4" t="s">
        <v>42</v>
      </c>
      <c r="C62" s="4" t="s">
        <v>23</v>
      </c>
      <c r="D62" s="4">
        <v>1</v>
      </c>
      <c r="E62" s="4">
        <v>0</v>
      </c>
      <c r="F62" s="4">
        <v>0</v>
      </c>
      <c r="G62" s="5">
        <v>46248</v>
      </c>
      <c r="H62" s="5">
        <v>46248</v>
      </c>
      <c r="I62" s="4" t="s">
        <v>19</v>
      </c>
      <c r="J62" s="5">
        <v>46237</v>
      </c>
      <c r="K62" s="4" t="s">
        <v>43</v>
      </c>
      <c r="M62" s="6">
        <f t="shared" si="2"/>
        <v>0</v>
      </c>
      <c r="N62" s="4" t="str">
        <f t="shared" si="3"/>
        <v>Em aberto</v>
      </c>
    </row>
    <row r="63" spans="1:14">
      <c r="A63" s="4" t="s">
        <v>108</v>
      </c>
      <c r="B63" s="4" t="s">
        <v>42</v>
      </c>
      <c r="C63" s="4" t="s">
        <v>23</v>
      </c>
      <c r="D63" s="4">
        <v>1</v>
      </c>
      <c r="E63" s="4">
        <v>0</v>
      </c>
      <c r="F63" s="4">
        <v>0</v>
      </c>
      <c r="G63" s="5">
        <v>46248</v>
      </c>
      <c r="H63" s="5">
        <v>46248</v>
      </c>
      <c r="I63" s="4" t="s">
        <v>19</v>
      </c>
      <c r="J63" s="5">
        <v>46237</v>
      </c>
      <c r="K63" s="4" t="s">
        <v>43</v>
      </c>
      <c r="M63" s="6">
        <f t="shared" si="2"/>
        <v>0</v>
      </c>
      <c r="N63" s="4" t="str">
        <f t="shared" si="3"/>
        <v>Em aberto</v>
      </c>
    </row>
    <row r="64" spans="1:14">
      <c r="A64" s="4" t="s">
        <v>109</v>
      </c>
      <c r="B64" s="4" t="s">
        <v>42</v>
      </c>
      <c r="C64" s="4" t="s">
        <v>23</v>
      </c>
      <c r="D64" s="4">
        <v>1</v>
      </c>
      <c r="E64" s="4">
        <v>0</v>
      </c>
      <c r="F64" s="4">
        <v>0</v>
      </c>
      <c r="G64" s="5">
        <v>46248</v>
      </c>
      <c r="H64" s="5">
        <v>46248</v>
      </c>
      <c r="I64" s="4" t="s">
        <v>19</v>
      </c>
      <c r="J64" s="5">
        <v>46237</v>
      </c>
      <c r="K64" s="4" t="s">
        <v>43</v>
      </c>
      <c r="M64" s="6">
        <f t="shared" si="2"/>
        <v>0</v>
      </c>
      <c r="N64" s="4" t="str">
        <f t="shared" si="3"/>
        <v>Em aberto</v>
      </c>
    </row>
    <row r="65" spans="1:14">
      <c r="A65" s="4" t="s">
        <v>110</v>
      </c>
      <c r="B65" s="4" t="s">
        <v>42</v>
      </c>
      <c r="C65" s="4" t="s">
        <v>23</v>
      </c>
      <c r="D65" s="4">
        <v>1</v>
      </c>
      <c r="E65" s="4">
        <v>0</v>
      </c>
      <c r="F65" s="4">
        <v>0</v>
      </c>
      <c r="G65" s="5">
        <v>46248</v>
      </c>
      <c r="H65" s="5">
        <v>46248</v>
      </c>
      <c r="I65" s="4" t="s">
        <v>19</v>
      </c>
      <c r="J65" s="5">
        <v>46237</v>
      </c>
      <c r="K65" s="4" t="s">
        <v>43</v>
      </c>
      <c r="M65" s="6">
        <f t="shared" si="2"/>
        <v>0</v>
      </c>
      <c r="N65" s="4" t="str">
        <f t="shared" si="3"/>
        <v>Em aberto</v>
      </c>
    </row>
    <row r="66" spans="1:14">
      <c r="A66" s="4" t="s">
        <v>111</v>
      </c>
      <c r="B66" s="4" t="s">
        <v>42</v>
      </c>
      <c r="C66" s="4" t="s">
        <v>23</v>
      </c>
      <c r="D66" s="4">
        <v>1</v>
      </c>
      <c r="E66" s="4">
        <v>0</v>
      </c>
      <c r="F66" s="4">
        <v>0</v>
      </c>
      <c r="G66" s="5">
        <v>46248</v>
      </c>
      <c r="H66" s="5">
        <v>46248</v>
      </c>
      <c r="I66" s="4" t="s">
        <v>19</v>
      </c>
      <c r="J66" s="5">
        <v>46237</v>
      </c>
      <c r="K66" s="4" t="s">
        <v>43</v>
      </c>
      <c r="M66" s="6">
        <f t="shared" ref="M66:M73" si="4">IF(D66=0,0,F66/D66)</f>
        <v>0</v>
      </c>
      <c r="N66" s="4" t="str">
        <f t="shared" ref="N66:N73" si="5">IF(I66&lt;&gt;"Encerrada","Em aberto",IF(H66&lt;=G66,"Sim","Não"))</f>
        <v>Em aberto</v>
      </c>
    </row>
    <row r="67" spans="1:14">
      <c r="A67" s="4" t="s">
        <v>112</v>
      </c>
      <c r="B67" s="4" t="s">
        <v>42</v>
      </c>
      <c r="C67" s="4" t="s">
        <v>23</v>
      </c>
      <c r="D67" s="4">
        <v>1</v>
      </c>
      <c r="E67" s="4">
        <v>1</v>
      </c>
      <c r="F67" s="4">
        <v>1</v>
      </c>
      <c r="G67" s="5">
        <v>46251</v>
      </c>
      <c r="H67" s="5">
        <v>46251</v>
      </c>
      <c r="I67" s="4" t="s">
        <v>22</v>
      </c>
      <c r="J67" s="5">
        <v>46219</v>
      </c>
      <c r="K67" s="4" t="s">
        <v>43</v>
      </c>
      <c r="M67" s="6">
        <f t="shared" si="4"/>
        <v>1</v>
      </c>
      <c r="N67" s="4" t="str">
        <f t="shared" si="5"/>
        <v>Em aberto</v>
      </c>
    </row>
    <row r="68" spans="1:14">
      <c r="A68" s="4" t="s">
        <v>113</v>
      </c>
      <c r="B68" s="4" t="s">
        <v>42</v>
      </c>
      <c r="C68" s="4" t="s">
        <v>23</v>
      </c>
      <c r="D68" s="4">
        <v>1</v>
      </c>
      <c r="E68" s="4">
        <v>0</v>
      </c>
      <c r="F68" s="4">
        <v>0</v>
      </c>
      <c r="G68" s="5">
        <v>46251</v>
      </c>
      <c r="H68" s="5">
        <v>46251</v>
      </c>
      <c r="I68" s="4" t="s">
        <v>22</v>
      </c>
      <c r="J68" s="5">
        <v>46237</v>
      </c>
      <c r="K68" s="4" t="s">
        <v>43</v>
      </c>
      <c r="M68" s="6">
        <f t="shared" si="4"/>
        <v>0</v>
      </c>
      <c r="N68" s="4" t="str">
        <f t="shared" si="5"/>
        <v>Em aberto</v>
      </c>
    </row>
    <row r="69" spans="1:14">
      <c r="A69" s="4" t="s">
        <v>114</v>
      </c>
      <c r="B69" s="4" t="s">
        <v>42</v>
      </c>
      <c r="C69" s="4" t="s">
        <v>23</v>
      </c>
      <c r="D69" s="4">
        <v>1</v>
      </c>
      <c r="E69" s="4">
        <v>0</v>
      </c>
      <c r="F69" s="4">
        <v>0</v>
      </c>
      <c r="G69" s="5">
        <v>46251</v>
      </c>
      <c r="H69" s="5">
        <v>46251</v>
      </c>
      <c r="I69" s="4" t="s">
        <v>22</v>
      </c>
      <c r="J69" s="5">
        <v>46237</v>
      </c>
      <c r="K69" s="4" t="s">
        <v>43</v>
      </c>
      <c r="M69" s="6">
        <f t="shared" si="4"/>
        <v>0</v>
      </c>
      <c r="N69" s="4" t="str">
        <f t="shared" si="5"/>
        <v>Em aberto</v>
      </c>
    </row>
    <row r="70" spans="1:14">
      <c r="A70" s="4" t="s">
        <v>115</v>
      </c>
      <c r="B70" s="4" t="s">
        <v>42</v>
      </c>
      <c r="C70" s="4" t="s">
        <v>23</v>
      </c>
      <c r="D70" s="4">
        <v>1</v>
      </c>
      <c r="E70" s="4">
        <v>0</v>
      </c>
      <c r="F70" s="4">
        <v>0</v>
      </c>
      <c r="G70" s="5">
        <v>46251</v>
      </c>
      <c r="H70" s="5">
        <v>46251</v>
      </c>
      <c r="I70" s="4" t="s">
        <v>22</v>
      </c>
      <c r="J70" s="5">
        <v>46237</v>
      </c>
      <c r="K70" s="4" t="s">
        <v>43</v>
      </c>
      <c r="M70" s="6">
        <f t="shared" si="4"/>
        <v>0</v>
      </c>
      <c r="N70" s="4" t="str">
        <f t="shared" si="5"/>
        <v>Em aberto</v>
      </c>
    </row>
    <row r="71" spans="1:14">
      <c r="A71" s="4" t="s">
        <v>116</v>
      </c>
      <c r="B71" s="4" t="s">
        <v>42</v>
      </c>
      <c r="C71" s="4" t="s">
        <v>23</v>
      </c>
      <c r="D71" s="4">
        <v>1</v>
      </c>
      <c r="E71" s="4">
        <v>0</v>
      </c>
      <c r="F71" s="4">
        <v>0</v>
      </c>
      <c r="G71" s="5">
        <v>46251</v>
      </c>
      <c r="H71" s="5">
        <v>46251</v>
      </c>
      <c r="I71" s="4" t="s">
        <v>22</v>
      </c>
      <c r="J71" s="5">
        <v>46237</v>
      </c>
      <c r="K71" s="4" t="s">
        <v>43</v>
      </c>
      <c r="M71" s="6">
        <f t="shared" si="4"/>
        <v>0</v>
      </c>
      <c r="N71" s="4" t="str">
        <f t="shared" si="5"/>
        <v>Em aberto</v>
      </c>
    </row>
    <row r="72" spans="1:14">
      <c r="A72" s="4" t="s">
        <v>117</v>
      </c>
      <c r="B72" s="4" t="s">
        <v>42</v>
      </c>
      <c r="C72" s="4" t="s">
        <v>23</v>
      </c>
      <c r="D72" s="4">
        <v>1</v>
      </c>
      <c r="E72" s="4">
        <v>0</v>
      </c>
      <c r="F72" s="4">
        <v>0</v>
      </c>
      <c r="G72" s="5">
        <v>46252</v>
      </c>
      <c r="H72" s="5">
        <v>46252</v>
      </c>
      <c r="I72" s="4" t="s">
        <v>24</v>
      </c>
      <c r="J72" s="5">
        <v>46219</v>
      </c>
      <c r="K72" s="4" t="s">
        <v>43</v>
      </c>
      <c r="M72" s="6">
        <f t="shared" si="4"/>
        <v>0</v>
      </c>
      <c r="N72" s="4" t="str">
        <f t="shared" si="5"/>
        <v>Em aberto</v>
      </c>
    </row>
    <row r="73" spans="1:14">
      <c r="A73" s="4" t="s">
        <v>118</v>
      </c>
      <c r="B73" s="4" t="s">
        <v>42</v>
      </c>
      <c r="C73" s="4" t="s">
        <v>23</v>
      </c>
      <c r="D73" s="4">
        <v>1</v>
      </c>
      <c r="E73" s="4">
        <v>0</v>
      </c>
      <c r="F73" s="4">
        <v>0</v>
      </c>
      <c r="G73" s="5">
        <v>46252</v>
      </c>
      <c r="H73" s="5">
        <v>46252</v>
      </c>
      <c r="I73" s="4" t="s">
        <v>24</v>
      </c>
      <c r="J73" s="5">
        <v>46219</v>
      </c>
      <c r="K73" s="4" t="s">
        <v>43</v>
      </c>
      <c r="M73" s="6">
        <f t="shared" si="4"/>
        <v>0</v>
      </c>
      <c r="N73" s="4" t="str">
        <f t="shared" si="5"/>
        <v>Em aberto</v>
      </c>
    </row>
    <row r="74" spans="1:14">
      <c r="A74" s="19">
        <v>19000001688</v>
      </c>
      <c r="B74" s="19" t="s">
        <v>37</v>
      </c>
      <c r="C74" s="19" t="s">
        <v>21</v>
      </c>
      <c r="D74" s="20">
        <v>1</v>
      </c>
      <c r="E74" s="20">
        <v>1</v>
      </c>
      <c r="F74" s="20">
        <v>1</v>
      </c>
      <c r="G74" s="21">
        <v>46205</v>
      </c>
      <c r="H74" s="21">
        <v>46206</v>
      </c>
      <c r="I74" s="4" t="s">
        <v>24</v>
      </c>
      <c r="J74" s="21">
        <v>46182</v>
      </c>
      <c r="K74" s="4" t="s">
        <v>43</v>
      </c>
      <c r="M74" s="6">
        <f t="shared" ref="M74:M102" si="6">IF(D74=0,0,F74/D74)</f>
        <v>1</v>
      </c>
      <c r="N74" s="4" t="str">
        <f t="shared" ref="N74:N102" si="7">IF(I74&lt;&gt;"Encerrada","Em aberto",IF(H74&lt;=G74,"Sim","Não"))</f>
        <v>Em aberto</v>
      </c>
    </row>
    <row r="75" spans="1:14">
      <c r="A75" s="19" t="s">
        <v>39</v>
      </c>
      <c r="B75" s="19" t="s">
        <v>37</v>
      </c>
      <c r="C75" s="19" t="s">
        <v>21</v>
      </c>
      <c r="D75" s="20">
        <v>1</v>
      </c>
      <c r="E75" s="20">
        <v>1</v>
      </c>
      <c r="F75" s="20">
        <v>1</v>
      </c>
      <c r="G75" s="21">
        <v>46205</v>
      </c>
      <c r="H75" s="21">
        <v>46206</v>
      </c>
      <c r="I75" s="4" t="s">
        <v>24</v>
      </c>
      <c r="J75" s="21">
        <v>46183</v>
      </c>
      <c r="K75" s="4" t="s">
        <v>43</v>
      </c>
      <c r="M75" s="6">
        <f t="shared" si="6"/>
        <v>1</v>
      </c>
      <c r="N75" s="4" t="str">
        <f t="shared" si="7"/>
        <v>Em aberto</v>
      </c>
    </row>
    <row r="76" spans="1:14">
      <c r="A76" s="19" t="s">
        <v>40</v>
      </c>
      <c r="B76" s="19" t="s">
        <v>37</v>
      </c>
      <c r="C76" s="19" t="s">
        <v>21</v>
      </c>
      <c r="D76" s="20">
        <v>1</v>
      </c>
      <c r="E76" s="20">
        <v>1</v>
      </c>
      <c r="F76" s="20">
        <v>1</v>
      </c>
      <c r="G76" s="21">
        <v>46205</v>
      </c>
      <c r="H76" s="21">
        <v>46206</v>
      </c>
      <c r="I76" s="4" t="s">
        <v>24</v>
      </c>
      <c r="J76" s="21">
        <v>46183</v>
      </c>
      <c r="K76" s="4" t="s">
        <v>43</v>
      </c>
      <c r="M76" s="6">
        <f t="shared" si="6"/>
        <v>1</v>
      </c>
      <c r="N76" s="4" t="str">
        <f t="shared" si="7"/>
        <v>Em aberto</v>
      </c>
    </row>
    <row r="77" spans="1:14">
      <c r="A77" s="19" t="s">
        <v>119</v>
      </c>
      <c r="B77" s="19" t="s">
        <v>37</v>
      </c>
      <c r="C77" s="19" t="s">
        <v>21</v>
      </c>
      <c r="D77" s="20">
        <v>1</v>
      </c>
      <c r="E77" s="20">
        <v>0</v>
      </c>
      <c r="F77" s="20">
        <v>0</v>
      </c>
      <c r="G77" s="21">
        <v>46254</v>
      </c>
      <c r="H77" s="21">
        <v>46254</v>
      </c>
      <c r="I77" s="4" t="s">
        <v>24</v>
      </c>
      <c r="J77" s="21">
        <v>46239</v>
      </c>
      <c r="K77" s="4" t="s">
        <v>43</v>
      </c>
      <c r="M77" s="6">
        <f t="shared" si="6"/>
        <v>0</v>
      </c>
      <c r="N77" s="4" t="str">
        <f t="shared" si="7"/>
        <v>Em aberto</v>
      </c>
    </row>
    <row r="78" spans="1:14">
      <c r="A78" s="19" t="s">
        <v>120</v>
      </c>
      <c r="B78" s="19" t="s">
        <v>37</v>
      </c>
      <c r="C78" s="19" t="s">
        <v>21</v>
      </c>
      <c r="D78" s="20">
        <v>1</v>
      </c>
      <c r="E78" s="20">
        <v>0</v>
      </c>
      <c r="F78" s="20">
        <v>0</v>
      </c>
      <c r="G78" s="21">
        <v>46255</v>
      </c>
      <c r="H78" s="21">
        <v>46255</v>
      </c>
      <c r="I78" s="4" t="s">
        <v>24</v>
      </c>
      <c r="J78" s="21">
        <v>46239</v>
      </c>
      <c r="K78" s="4" t="s">
        <v>43</v>
      </c>
      <c r="M78" s="6">
        <f t="shared" si="6"/>
        <v>0</v>
      </c>
      <c r="N78" s="4" t="str">
        <f t="shared" si="7"/>
        <v>Em aberto</v>
      </c>
    </row>
    <row r="79" spans="1:14">
      <c r="A79" s="19" t="s">
        <v>121</v>
      </c>
      <c r="B79" s="19" t="s">
        <v>37</v>
      </c>
      <c r="C79" s="19" t="s">
        <v>21</v>
      </c>
      <c r="D79" s="20">
        <v>1</v>
      </c>
      <c r="E79" s="20">
        <v>0</v>
      </c>
      <c r="F79" s="20">
        <v>0</v>
      </c>
      <c r="G79" s="21">
        <v>46255</v>
      </c>
      <c r="H79" s="21">
        <v>46255</v>
      </c>
      <c r="I79" s="4" t="s">
        <v>24</v>
      </c>
      <c r="J79" s="21">
        <v>46239</v>
      </c>
      <c r="K79" s="4" t="s">
        <v>43</v>
      </c>
      <c r="M79" s="6">
        <f t="shared" si="6"/>
        <v>0</v>
      </c>
      <c r="N79" s="4" t="str">
        <f t="shared" si="7"/>
        <v>Em aberto</v>
      </c>
    </row>
    <row r="80" spans="1:14">
      <c r="A80" s="19" t="s">
        <v>122</v>
      </c>
      <c r="B80" s="19" t="s">
        <v>37</v>
      </c>
      <c r="C80" s="19" t="s">
        <v>21</v>
      </c>
      <c r="D80" s="20">
        <v>1</v>
      </c>
      <c r="E80" s="20">
        <v>0</v>
      </c>
      <c r="F80" s="20">
        <v>0</v>
      </c>
      <c r="G80" s="21">
        <v>46255</v>
      </c>
      <c r="H80" s="21">
        <v>46255</v>
      </c>
      <c r="I80" s="4" t="s">
        <v>24</v>
      </c>
      <c r="J80" s="21">
        <v>46239</v>
      </c>
      <c r="K80" s="4" t="s">
        <v>43</v>
      </c>
      <c r="M80" s="6">
        <f t="shared" si="6"/>
        <v>0</v>
      </c>
      <c r="N80" s="4" t="str">
        <f t="shared" si="7"/>
        <v>Em aberto</v>
      </c>
    </row>
    <row r="81" spans="1:14">
      <c r="A81" s="19" t="s">
        <v>123</v>
      </c>
      <c r="B81" s="19" t="s">
        <v>37</v>
      </c>
      <c r="C81" s="19" t="s">
        <v>21</v>
      </c>
      <c r="D81" s="20">
        <v>1</v>
      </c>
      <c r="E81" s="20">
        <v>0</v>
      </c>
      <c r="F81" s="20">
        <v>0</v>
      </c>
      <c r="G81" s="21">
        <v>46255</v>
      </c>
      <c r="H81" s="21">
        <v>46255</v>
      </c>
      <c r="I81" s="4" t="s">
        <v>24</v>
      </c>
      <c r="J81" s="21">
        <v>46244</v>
      </c>
      <c r="K81" s="4" t="s">
        <v>43</v>
      </c>
      <c r="M81" s="6">
        <f t="shared" si="6"/>
        <v>0</v>
      </c>
      <c r="N81" s="4" t="str">
        <f t="shared" si="7"/>
        <v>Em aberto</v>
      </c>
    </row>
    <row r="82" spans="1:14">
      <c r="A82" s="19" t="s">
        <v>124</v>
      </c>
      <c r="B82" s="19" t="s">
        <v>37</v>
      </c>
      <c r="C82" s="19" t="s">
        <v>21</v>
      </c>
      <c r="D82" s="20">
        <v>1</v>
      </c>
      <c r="E82" s="20">
        <v>0</v>
      </c>
      <c r="F82" s="20">
        <v>0</v>
      </c>
      <c r="G82" s="21">
        <v>46258</v>
      </c>
      <c r="H82" s="21">
        <v>46258</v>
      </c>
      <c r="I82" s="4" t="s">
        <v>24</v>
      </c>
      <c r="J82" s="21">
        <v>46244</v>
      </c>
      <c r="K82" s="4" t="s">
        <v>43</v>
      </c>
      <c r="M82" s="6">
        <f t="shared" si="6"/>
        <v>0</v>
      </c>
      <c r="N82" s="4" t="str">
        <f t="shared" si="7"/>
        <v>Em aberto</v>
      </c>
    </row>
    <row r="83" spans="1:14">
      <c r="A83" s="19" t="s">
        <v>125</v>
      </c>
      <c r="B83" s="19" t="s">
        <v>37</v>
      </c>
      <c r="C83" s="19" t="s">
        <v>21</v>
      </c>
      <c r="D83" s="20">
        <v>1</v>
      </c>
      <c r="E83" s="20">
        <v>0</v>
      </c>
      <c r="F83" s="20">
        <v>0</v>
      </c>
      <c r="G83" s="21">
        <v>46258</v>
      </c>
      <c r="H83" s="21">
        <v>46258</v>
      </c>
      <c r="I83" s="4" t="s">
        <v>24</v>
      </c>
      <c r="J83" s="21">
        <v>46244</v>
      </c>
      <c r="K83" s="4" t="s">
        <v>43</v>
      </c>
      <c r="M83" s="6">
        <f t="shared" si="6"/>
        <v>0</v>
      </c>
      <c r="N83" s="4" t="str">
        <f t="shared" si="7"/>
        <v>Em aberto</v>
      </c>
    </row>
    <row r="84" spans="1:14">
      <c r="A84" s="19" t="s">
        <v>126</v>
      </c>
      <c r="B84" s="19" t="s">
        <v>37</v>
      </c>
      <c r="C84" s="19" t="s">
        <v>21</v>
      </c>
      <c r="D84" s="20">
        <v>1</v>
      </c>
      <c r="E84" s="20">
        <v>0</v>
      </c>
      <c r="F84" s="20">
        <v>0</v>
      </c>
      <c r="G84" s="21">
        <v>46258</v>
      </c>
      <c r="H84" s="21">
        <v>46258</v>
      </c>
      <c r="I84" s="4" t="s">
        <v>24</v>
      </c>
      <c r="J84" s="21">
        <v>46244</v>
      </c>
      <c r="K84" s="4" t="s">
        <v>43</v>
      </c>
      <c r="M84" s="6">
        <f t="shared" si="6"/>
        <v>0</v>
      </c>
      <c r="N84" s="4" t="str">
        <f t="shared" si="7"/>
        <v>Em aberto</v>
      </c>
    </row>
    <row r="85" spans="1:14">
      <c r="A85" s="19" t="s">
        <v>127</v>
      </c>
      <c r="B85" s="19" t="s">
        <v>37</v>
      </c>
      <c r="C85" s="19" t="s">
        <v>21</v>
      </c>
      <c r="D85" s="20">
        <v>1</v>
      </c>
      <c r="E85" s="20">
        <v>0</v>
      </c>
      <c r="F85" s="20">
        <v>0</v>
      </c>
      <c r="G85" s="21">
        <v>46259</v>
      </c>
      <c r="H85" s="21">
        <v>46259</v>
      </c>
      <c r="I85" s="4" t="s">
        <v>24</v>
      </c>
      <c r="J85" s="21">
        <v>46244</v>
      </c>
      <c r="K85" s="4" t="s">
        <v>43</v>
      </c>
      <c r="M85" s="6">
        <f t="shared" si="6"/>
        <v>0</v>
      </c>
      <c r="N85" s="4" t="str">
        <f t="shared" si="7"/>
        <v>Em aberto</v>
      </c>
    </row>
    <row r="86" spans="1:14">
      <c r="A86" s="19" t="s">
        <v>128</v>
      </c>
      <c r="B86" s="19" t="s">
        <v>37</v>
      </c>
      <c r="C86" s="19" t="s">
        <v>21</v>
      </c>
      <c r="D86" s="20">
        <v>1</v>
      </c>
      <c r="E86" s="20">
        <v>0</v>
      </c>
      <c r="F86" s="20">
        <v>0</v>
      </c>
      <c r="G86" s="21">
        <v>46259</v>
      </c>
      <c r="H86" s="21">
        <v>46259</v>
      </c>
      <c r="I86" s="4" t="s">
        <v>24</v>
      </c>
      <c r="J86" s="21">
        <v>46244</v>
      </c>
      <c r="K86" s="4" t="s">
        <v>43</v>
      </c>
      <c r="M86" s="6">
        <f t="shared" si="6"/>
        <v>0</v>
      </c>
      <c r="N86" s="4" t="str">
        <f t="shared" si="7"/>
        <v>Em aberto</v>
      </c>
    </row>
    <row r="87" spans="1:14">
      <c r="A87" s="19" t="s">
        <v>129</v>
      </c>
      <c r="B87" s="19" t="s">
        <v>37</v>
      </c>
      <c r="C87" s="19" t="s">
        <v>21</v>
      </c>
      <c r="D87" s="20">
        <v>1</v>
      </c>
      <c r="E87" s="20">
        <v>0</v>
      </c>
      <c r="F87" s="20">
        <v>0</v>
      </c>
      <c r="G87" s="21">
        <v>46259</v>
      </c>
      <c r="H87" s="21">
        <v>46259</v>
      </c>
      <c r="I87" s="4" t="s">
        <v>24</v>
      </c>
      <c r="J87" s="21">
        <v>46244</v>
      </c>
      <c r="K87" s="4" t="s">
        <v>43</v>
      </c>
      <c r="M87" s="6">
        <f t="shared" si="6"/>
        <v>0</v>
      </c>
      <c r="N87" s="4" t="str">
        <f t="shared" si="7"/>
        <v>Em aberto</v>
      </c>
    </row>
    <row r="88" spans="1:14">
      <c r="A88" s="19" t="s">
        <v>130</v>
      </c>
      <c r="B88" s="19" t="s">
        <v>37</v>
      </c>
      <c r="C88" s="19" t="s">
        <v>21</v>
      </c>
      <c r="D88" s="20">
        <v>1</v>
      </c>
      <c r="E88" s="20">
        <v>0</v>
      </c>
      <c r="F88" s="20">
        <v>0</v>
      </c>
      <c r="G88" s="21">
        <v>46259</v>
      </c>
      <c r="H88" s="21">
        <v>46259</v>
      </c>
      <c r="I88" s="4" t="s">
        <v>24</v>
      </c>
      <c r="J88" s="21">
        <v>46244</v>
      </c>
      <c r="K88" s="4" t="s">
        <v>43</v>
      </c>
      <c r="M88" s="6">
        <f t="shared" si="6"/>
        <v>0</v>
      </c>
      <c r="N88" s="4" t="str">
        <f t="shared" si="7"/>
        <v>Em aberto</v>
      </c>
    </row>
    <row r="89" spans="1:14">
      <c r="A89" s="19" t="s">
        <v>131</v>
      </c>
      <c r="B89" s="19" t="s">
        <v>37</v>
      </c>
      <c r="C89" s="19" t="s">
        <v>21</v>
      </c>
      <c r="D89" s="20">
        <v>1</v>
      </c>
      <c r="E89" s="20">
        <v>0</v>
      </c>
      <c r="F89" s="20">
        <v>0</v>
      </c>
      <c r="G89" s="21">
        <v>46260</v>
      </c>
      <c r="H89" s="21">
        <v>46260</v>
      </c>
      <c r="I89" s="4" t="s">
        <v>24</v>
      </c>
      <c r="J89" s="21">
        <v>46244</v>
      </c>
      <c r="K89" s="4" t="s">
        <v>43</v>
      </c>
      <c r="M89" s="6">
        <f t="shared" si="6"/>
        <v>0</v>
      </c>
      <c r="N89" s="4" t="str">
        <f t="shared" si="7"/>
        <v>Em aberto</v>
      </c>
    </row>
    <row r="90" spans="1:14">
      <c r="A90" s="19" t="s">
        <v>132</v>
      </c>
      <c r="B90" s="19" t="s">
        <v>37</v>
      </c>
      <c r="C90" s="19" t="s">
        <v>21</v>
      </c>
      <c r="D90" s="20">
        <v>1</v>
      </c>
      <c r="E90" s="20">
        <v>0</v>
      </c>
      <c r="F90" s="20">
        <v>0</v>
      </c>
      <c r="G90" s="21">
        <v>46260</v>
      </c>
      <c r="H90" s="21">
        <v>46260</v>
      </c>
      <c r="I90" s="4" t="s">
        <v>24</v>
      </c>
      <c r="J90" s="21">
        <v>46244</v>
      </c>
      <c r="K90" s="4" t="s">
        <v>43</v>
      </c>
      <c r="M90" s="6">
        <f t="shared" si="6"/>
        <v>0</v>
      </c>
      <c r="N90" s="4" t="str">
        <f t="shared" si="7"/>
        <v>Em aberto</v>
      </c>
    </row>
    <row r="91" spans="1:14">
      <c r="A91" s="19" t="s">
        <v>133</v>
      </c>
      <c r="B91" s="19" t="s">
        <v>37</v>
      </c>
      <c r="C91" s="19" t="s">
        <v>21</v>
      </c>
      <c r="D91" s="20">
        <v>1</v>
      </c>
      <c r="E91" s="20">
        <v>0</v>
      </c>
      <c r="F91" s="20">
        <v>0</v>
      </c>
      <c r="G91" s="21">
        <v>46260</v>
      </c>
      <c r="H91" s="21">
        <v>46260</v>
      </c>
      <c r="I91" s="4" t="s">
        <v>24</v>
      </c>
      <c r="J91" s="21">
        <v>46244</v>
      </c>
      <c r="K91" s="4" t="s">
        <v>43</v>
      </c>
      <c r="M91" s="6">
        <f t="shared" si="6"/>
        <v>0</v>
      </c>
      <c r="N91" s="4" t="str">
        <f t="shared" si="7"/>
        <v>Em aberto</v>
      </c>
    </row>
    <row r="92" spans="1:14">
      <c r="A92" s="19" t="s">
        <v>134</v>
      </c>
      <c r="B92" s="19" t="s">
        <v>37</v>
      </c>
      <c r="C92" s="19" t="s">
        <v>21</v>
      </c>
      <c r="D92" s="20">
        <v>1</v>
      </c>
      <c r="E92" s="20">
        <v>0</v>
      </c>
      <c r="F92" s="20">
        <v>0</v>
      </c>
      <c r="G92" s="21">
        <v>46261</v>
      </c>
      <c r="H92" s="21">
        <v>46261</v>
      </c>
      <c r="I92" s="4" t="s">
        <v>24</v>
      </c>
      <c r="J92" s="21">
        <v>46244</v>
      </c>
      <c r="K92" s="4" t="s">
        <v>43</v>
      </c>
      <c r="M92" s="6">
        <f t="shared" si="6"/>
        <v>0</v>
      </c>
      <c r="N92" s="4" t="str">
        <f t="shared" si="7"/>
        <v>Em aberto</v>
      </c>
    </row>
    <row r="93" spans="1:14">
      <c r="A93" s="19" t="s">
        <v>135</v>
      </c>
      <c r="B93" s="19" t="s">
        <v>37</v>
      </c>
      <c r="C93" s="19" t="s">
        <v>21</v>
      </c>
      <c r="D93" s="20">
        <v>1</v>
      </c>
      <c r="E93" s="20">
        <v>0</v>
      </c>
      <c r="F93" s="20">
        <v>0</v>
      </c>
      <c r="G93" s="21">
        <v>46261</v>
      </c>
      <c r="H93" s="21">
        <v>46261</v>
      </c>
      <c r="I93" s="4" t="s">
        <v>24</v>
      </c>
      <c r="J93" s="21">
        <v>46244</v>
      </c>
      <c r="K93" s="4" t="s">
        <v>43</v>
      </c>
      <c r="M93" s="6">
        <f t="shared" si="6"/>
        <v>0</v>
      </c>
      <c r="N93" s="4" t="str">
        <f t="shared" si="7"/>
        <v>Em aberto</v>
      </c>
    </row>
    <row r="94" spans="1:14">
      <c r="A94" s="19" t="s">
        <v>136</v>
      </c>
      <c r="B94" s="19" t="s">
        <v>37</v>
      </c>
      <c r="C94" s="19" t="s">
        <v>21</v>
      </c>
      <c r="D94" s="20">
        <v>1</v>
      </c>
      <c r="E94" s="20">
        <v>0</v>
      </c>
      <c r="F94" s="20">
        <v>0</v>
      </c>
      <c r="G94" s="21">
        <v>46261</v>
      </c>
      <c r="H94" s="21">
        <v>46261</v>
      </c>
      <c r="I94" s="4" t="s">
        <v>24</v>
      </c>
      <c r="J94" s="21">
        <v>46244</v>
      </c>
      <c r="K94" s="4" t="s">
        <v>43</v>
      </c>
      <c r="M94" s="6">
        <f t="shared" si="6"/>
        <v>0</v>
      </c>
      <c r="N94" s="4" t="str">
        <f t="shared" si="7"/>
        <v>Em aberto</v>
      </c>
    </row>
    <row r="95" spans="1:14">
      <c r="A95" s="19" t="s">
        <v>137</v>
      </c>
      <c r="B95" s="19" t="s">
        <v>37</v>
      </c>
      <c r="C95" s="19" t="s">
        <v>21</v>
      </c>
      <c r="D95" s="20">
        <v>1</v>
      </c>
      <c r="E95" s="20">
        <v>0</v>
      </c>
      <c r="F95" s="20">
        <v>0</v>
      </c>
      <c r="G95" s="21">
        <v>46261</v>
      </c>
      <c r="H95" s="21">
        <v>46261</v>
      </c>
      <c r="I95" s="4" t="s">
        <v>24</v>
      </c>
      <c r="J95" s="21">
        <v>46244</v>
      </c>
      <c r="K95" s="4" t="s">
        <v>43</v>
      </c>
      <c r="M95" s="6">
        <f t="shared" si="6"/>
        <v>0</v>
      </c>
      <c r="N95" s="4" t="str">
        <f t="shared" si="7"/>
        <v>Em aberto</v>
      </c>
    </row>
    <row r="96" spans="1:14">
      <c r="A96" s="19" t="s">
        <v>138</v>
      </c>
      <c r="B96" s="19" t="s">
        <v>37</v>
      </c>
      <c r="C96" s="19" t="s">
        <v>21</v>
      </c>
      <c r="D96" s="20">
        <v>1</v>
      </c>
      <c r="E96" s="20">
        <v>0</v>
      </c>
      <c r="F96" s="20">
        <v>0</v>
      </c>
      <c r="G96" s="21">
        <v>46262</v>
      </c>
      <c r="H96" s="21">
        <v>46262</v>
      </c>
      <c r="I96" s="4" t="s">
        <v>24</v>
      </c>
      <c r="J96" s="21">
        <v>46244</v>
      </c>
      <c r="K96" s="4" t="s">
        <v>43</v>
      </c>
      <c r="M96" s="6">
        <f t="shared" si="6"/>
        <v>0</v>
      </c>
      <c r="N96" s="4" t="str">
        <f t="shared" si="7"/>
        <v>Em aberto</v>
      </c>
    </row>
    <row r="97" spans="1:14">
      <c r="A97" s="19">
        <v>19000002134</v>
      </c>
      <c r="B97" s="19" t="s">
        <v>37</v>
      </c>
      <c r="C97" s="19" t="s">
        <v>21</v>
      </c>
      <c r="D97" s="20">
        <v>1</v>
      </c>
      <c r="E97" s="20">
        <v>0</v>
      </c>
      <c r="F97" s="20">
        <v>0</v>
      </c>
      <c r="G97" s="21">
        <v>46262</v>
      </c>
      <c r="H97" s="21">
        <v>46262</v>
      </c>
      <c r="I97" s="4" t="s">
        <v>24</v>
      </c>
      <c r="J97" s="21">
        <v>46244</v>
      </c>
      <c r="K97" s="4" t="s">
        <v>43</v>
      </c>
      <c r="M97" s="6">
        <f t="shared" si="6"/>
        <v>0</v>
      </c>
      <c r="N97" s="4" t="str">
        <f t="shared" si="7"/>
        <v>Em aberto</v>
      </c>
    </row>
    <row r="98" spans="1:14">
      <c r="A98" s="19" t="s">
        <v>139</v>
      </c>
      <c r="B98" s="19" t="s">
        <v>37</v>
      </c>
      <c r="C98" s="19" t="s">
        <v>21</v>
      </c>
      <c r="D98" s="20">
        <v>1</v>
      </c>
      <c r="E98" s="20">
        <v>0</v>
      </c>
      <c r="F98" s="20">
        <v>0</v>
      </c>
      <c r="G98" s="21">
        <v>46262</v>
      </c>
      <c r="H98" s="21">
        <v>46262</v>
      </c>
      <c r="I98" s="4" t="s">
        <v>24</v>
      </c>
      <c r="J98" s="21">
        <v>46244</v>
      </c>
      <c r="K98" s="4" t="s">
        <v>43</v>
      </c>
      <c r="M98" s="6">
        <f t="shared" si="6"/>
        <v>0</v>
      </c>
      <c r="N98" s="4" t="str">
        <f t="shared" si="7"/>
        <v>Em aberto</v>
      </c>
    </row>
    <row r="99" spans="1:14">
      <c r="A99" s="19" t="s">
        <v>140</v>
      </c>
      <c r="B99" s="19" t="s">
        <v>37</v>
      </c>
      <c r="C99" s="19" t="s">
        <v>21</v>
      </c>
      <c r="D99" s="20">
        <v>1</v>
      </c>
      <c r="E99" s="20">
        <v>0</v>
      </c>
      <c r="F99" s="20">
        <v>0</v>
      </c>
      <c r="G99" s="21">
        <v>46265</v>
      </c>
      <c r="H99" s="21">
        <v>46265</v>
      </c>
      <c r="I99" s="4" t="s">
        <v>24</v>
      </c>
      <c r="J99" s="21">
        <v>46244</v>
      </c>
      <c r="K99" s="4" t="s">
        <v>43</v>
      </c>
      <c r="M99" s="6">
        <f t="shared" si="6"/>
        <v>0</v>
      </c>
      <c r="N99" s="4" t="str">
        <f t="shared" si="7"/>
        <v>Em aberto</v>
      </c>
    </row>
    <row r="100" spans="1:14">
      <c r="A100" s="19" t="s">
        <v>141</v>
      </c>
      <c r="B100" s="19" t="s">
        <v>37</v>
      </c>
      <c r="C100" s="19" t="s">
        <v>21</v>
      </c>
      <c r="D100" s="20">
        <v>1</v>
      </c>
      <c r="E100" s="20">
        <v>0</v>
      </c>
      <c r="F100" s="20">
        <v>0</v>
      </c>
      <c r="G100" s="21">
        <v>46265</v>
      </c>
      <c r="H100" s="21">
        <v>46265</v>
      </c>
      <c r="I100" s="4" t="s">
        <v>24</v>
      </c>
      <c r="J100" s="21">
        <v>46244</v>
      </c>
      <c r="K100" s="4" t="s">
        <v>43</v>
      </c>
      <c r="M100" s="6">
        <f t="shared" si="6"/>
        <v>0</v>
      </c>
      <c r="N100" s="4" t="str">
        <f t="shared" si="7"/>
        <v>Em aberto</v>
      </c>
    </row>
    <row r="101" spans="1:14">
      <c r="A101" s="19" t="s">
        <v>142</v>
      </c>
      <c r="B101" s="19" t="s">
        <v>37</v>
      </c>
      <c r="C101" s="19" t="s">
        <v>21</v>
      </c>
      <c r="D101" s="20">
        <v>1</v>
      </c>
      <c r="E101" s="20">
        <v>0</v>
      </c>
      <c r="F101" s="20">
        <v>0</v>
      </c>
      <c r="G101" s="21">
        <v>46265</v>
      </c>
      <c r="H101" s="21">
        <v>46265</v>
      </c>
      <c r="I101" s="4" t="s">
        <v>24</v>
      </c>
      <c r="J101" s="21">
        <v>46244</v>
      </c>
      <c r="K101" s="4" t="s">
        <v>43</v>
      </c>
      <c r="M101" s="6">
        <f t="shared" si="6"/>
        <v>0</v>
      </c>
      <c r="N101" s="4" t="str">
        <f t="shared" si="7"/>
        <v>Em aberto</v>
      </c>
    </row>
    <row r="102" spans="1:14">
      <c r="A102" s="19" t="s">
        <v>143</v>
      </c>
      <c r="B102" s="19" t="s">
        <v>37</v>
      </c>
      <c r="C102" s="19" t="s">
        <v>21</v>
      </c>
      <c r="D102" s="20">
        <v>1</v>
      </c>
      <c r="E102" s="20">
        <v>0</v>
      </c>
      <c r="F102" s="20">
        <v>0</v>
      </c>
      <c r="G102" s="21">
        <v>46265</v>
      </c>
      <c r="H102" s="21">
        <v>46265</v>
      </c>
      <c r="I102" s="4" t="s">
        <v>24</v>
      </c>
      <c r="J102" s="21">
        <v>46244</v>
      </c>
      <c r="K102" s="4" t="s">
        <v>43</v>
      </c>
      <c r="M102" s="6">
        <f t="shared" si="6"/>
        <v>0</v>
      </c>
      <c r="N102" s="4" t="str">
        <f t="shared" si="7"/>
        <v>Em aberto</v>
      </c>
    </row>
    <row r="103" spans="1:14">
      <c r="G103" s="5"/>
      <c r="H103" s="5"/>
      <c r="K103" s="4" t="s">
        <v>43</v>
      </c>
      <c r="M103" s="6"/>
    </row>
    <row r="104" spans="1:14">
      <c r="G104" s="5"/>
      <c r="H104" s="5"/>
      <c r="K104" s="4" t="s">
        <v>43</v>
      </c>
      <c r="M104" s="6"/>
    </row>
    <row r="105" spans="1:14">
      <c r="G105" s="5"/>
      <c r="H105" s="5"/>
      <c r="K105" s="4" t="s">
        <v>43</v>
      </c>
      <c r="M105" s="6"/>
    </row>
    <row r="106" spans="1:14">
      <c r="G106" s="5"/>
      <c r="H106" s="5"/>
      <c r="K106" s="4" t="s">
        <v>43</v>
      </c>
      <c r="M106" s="6"/>
    </row>
    <row r="107" spans="1:14">
      <c r="G107" s="5"/>
      <c r="H107" s="5"/>
      <c r="K107" s="4" t="s">
        <v>43</v>
      </c>
      <c r="M107" s="6"/>
    </row>
    <row r="108" spans="1:14">
      <c r="G108" s="5"/>
      <c r="H108" s="5"/>
      <c r="K108" s="4" t="s">
        <v>43</v>
      </c>
      <c r="M108" s="6"/>
    </row>
    <row r="109" spans="1:14">
      <c r="G109" s="5"/>
      <c r="H109" s="5"/>
      <c r="K109" s="4" t="s">
        <v>43</v>
      </c>
      <c r="M109" s="6"/>
    </row>
    <row r="110" spans="1:14">
      <c r="G110" s="5"/>
      <c r="H110" s="5"/>
      <c r="K110" s="4" t="s">
        <v>43</v>
      </c>
      <c r="M110" s="6"/>
    </row>
    <row r="111" spans="1:14">
      <c r="G111" s="5"/>
      <c r="H111" s="5"/>
      <c r="K111" s="4" t="s">
        <v>43</v>
      </c>
      <c r="M111" s="6"/>
    </row>
    <row r="112" spans="1:14">
      <c r="G112" s="5"/>
      <c r="H112" s="5"/>
      <c r="K112" s="4" t="s">
        <v>43</v>
      </c>
      <c r="M112" s="6"/>
    </row>
    <row r="113" spans="7:13">
      <c r="G113" s="5"/>
      <c r="H113" s="5"/>
      <c r="K113" s="4" t="s">
        <v>43</v>
      </c>
      <c r="M113" s="6"/>
    </row>
    <row r="114" spans="7:13">
      <c r="G114" s="5"/>
      <c r="H114" s="5"/>
      <c r="K114" s="4" t="s">
        <v>43</v>
      </c>
      <c r="M114" s="6"/>
    </row>
    <row r="115" spans="7:13">
      <c r="G115" s="5"/>
      <c r="H115" s="5"/>
      <c r="K115" s="4" t="s">
        <v>43</v>
      </c>
      <c r="M115" s="6"/>
    </row>
    <row r="116" spans="7:13">
      <c r="G116" s="5"/>
      <c r="H116" s="5"/>
      <c r="K116" s="4" t="s">
        <v>43</v>
      </c>
      <c r="M116" s="6"/>
    </row>
    <row r="117" spans="7:13">
      <c r="G117" s="5"/>
      <c r="H117" s="5"/>
      <c r="K117" s="4" t="s">
        <v>43</v>
      </c>
      <c r="M117" s="6"/>
    </row>
    <row r="118" spans="7:13">
      <c r="G118" s="5"/>
      <c r="H118" s="5"/>
      <c r="K118" s="4" t="s">
        <v>43</v>
      </c>
      <c r="M118" s="6"/>
    </row>
    <row r="119" spans="7:13">
      <c r="G119" s="5"/>
      <c r="H119" s="5"/>
      <c r="K119" s="4" t="s">
        <v>43</v>
      </c>
      <c r="M119" s="6"/>
    </row>
    <row r="120" spans="7:13">
      <c r="G120" s="5"/>
      <c r="H120" s="5"/>
      <c r="K120" s="4" t="s">
        <v>43</v>
      </c>
      <c r="M120" s="6"/>
    </row>
    <row r="121" spans="7:13">
      <c r="G121" s="5"/>
      <c r="H121" s="5"/>
      <c r="K121" s="4" t="s">
        <v>43</v>
      </c>
      <c r="M121" s="6"/>
    </row>
    <row r="122" spans="7:13">
      <c r="G122" s="5"/>
      <c r="H122" s="5"/>
      <c r="K122" s="4" t="s">
        <v>43</v>
      </c>
      <c r="M122" s="6"/>
    </row>
    <row r="123" spans="7:13">
      <c r="G123" s="5"/>
      <c r="H123" s="5"/>
      <c r="K123" s="4" t="s">
        <v>43</v>
      </c>
      <c r="M123" s="6"/>
    </row>
    <row r="124" spans="7:13">
      <c r="G124" s="5"/>
      <c r="H124" s="5"/>
      <c r="K124" s="4" t="s">
        <v>43</v>
      </c>
      <c r="M124" s="6"/>
    </row>
    <row r="125" spans="7:13">
      <c r="G125" s="5"/>
      <c r="H125" s="5"/>
      <c r="K125" s="4" t="s">
        <v>43</v>
      </c>
      <c r="M125" s="6"/>
    </row>
    <row r="126" spans="7:13">
      <c r="G126" s="5"/>
      <c r="H126" s="5"/>
      <c r="K126" s="4" t="s">
        <v>43</v>
      </c>
      <c r="M126" s="6"/>
    </row>
    <row r="127" spans="7:13">
      <c r="G127" s="5"/>
      <c r="H127" s="5"/>
      <c r="K127" s="4" t="s">
        <v>43</v>
      </c>
      <c r="M127" s="6"/>
    </row>
    <row r="128" spans="7:13">
      <c r="G128" s="5"/>
      <c r="H128" s="5"/>
      <c r="K128" s="4" t="s">
        <v>43</v>
      </c>
      <c r="M128" s="6"/>
    </row>
    <row r="129" spans="7:13">
      <c r="G129" s="5"/>
      <c r="H129" s="5"/>
      <c r="K129" s="4" t="s">
        <v>43</v>
      </c>
      <c r="M129" s="6"/>
    </row>
    <row r="130" spans="7:13">
      <c r="G130" s="5"/>
      <c r="H130" s="5"/>
      <c r="K130" s="4" t="s">
        <v>43</v>
      </c>
      <c r="M130" s="6"/>
    </row>
    <row r="131" spans="7:13">
      <c r="G131" s="5"/>
      <c r="H131" s="5"/>
      <c r="K131" s="4" t="s">
        <v>43</v>
      </c>
      <c r="M131" s="6"/>
    </row>
    <row r="132" spans="7:13">
      <c r="G132" s="5"/>
      <c r="H132" s="5"/>
      <c r="K132" s="4" t="s">
        <v>43</v>
      </c>
      <c r="M132" s="6"/>
    </row>
    <row r="133" spans="7:13">
      <c r="G133" s="5"/>
      <c r="H133" s="5"/>
      <c r="K133" s="4" t="s">
        <v>43</v>
      </c>
      <c r="M133" s="6"/>
    </row>
    <row r="134" spans="7:13">
      <c r="G134" s="5"/>
      <c r="H134" s="5"/>
      <c r="K134" s="4" t="s">
        <v>43</v>
      </c>
      <c r="M134" s="6"/>
    </row>
    <row r="135" spans="7:13">
      <c r="G135" s="5"/>
      <c r="H135" s="5"/>
      <c r="K135" s="4" t="s">
        <v>43</v>
      </c>
      <c r="M135" s="6"/>
    </row>
    <row r="136" spans="7:13">
      <c r="G136" s="5"/>
      <c r="H136" s="5"/>
      <c r="K136" s="4" t="s">
        <v>43</v>
      </c>
      <c r="M136" s="6"/>
    </row>
    <row r="137" spans="7:13">
      <c r="G137" s="5"/>
      <c r="H137" s="5"/>
      <c r="K137" s="4" t="s">
        <v>43</v>
      </c>
      <c r="M137" s="6"/>
    </row>
    <row r="138" spans="7:13">
      <c r="G138" s="5"/>
      <c r="H138" s="5"/>
      <c r="K138" s="4" t="s">
        <v>43</v>
      </c>
      <c r="M138" s="6"/>
    </row>
    <row r="139" spans="7:13">
      <c r="G139" s="5"/>
      <c r="H139" s="5"/>
      <c r="K139" s="4" t="s">
        <v>43</v>
      </c>
      <c r="M139" s="6"/>
    </row>
    <row r="140" spans="7:13">
      <c r="G140" s="5"/>
      <c r="H140" s="5"/>
      <c r="K140" s="4" t="s">
        <v>43</v>
      </c>
      <c r="M140" s="6"/>
    </row>
    <row r="141" spans="7:13">
      <c r="G141" s="5"/>
      <c r="H141" s="5"/>
      <c r="K141" s="4" t="s">
        <v>43</v>
      </c>
      <c r="M141" s="6"/>
    </row>
    <row r="142" spans="7:13">
      <c r="G142" s="5"/>
      <c r="H142" s="5"/>
      <c r="K142" s="4" t="s">
        <v>43</v>
      </c>
      <c r="M142" s="6"/>
    </row>
    <row r="143" spans="7:13">
      <c r="G143" s="5"/>
      <c r="H143" s="5"/>
      <c r="K143" s="4" t="s">
        <v>43</v>
      </c>
      <c r="M143" s="6"/>
    </row>
    <row r="144" spans="7:13">
      <c r="G144" s="5"/>
      <c r="H144" s="5"/>
      <c r="K144" s="4" t="s">
        <v>43</v>
      </c>
      <c r="M144" s="6"/>
    </row>
    <row r="145" spans="7:13">
      <c r="G145" s="5"/>
      <c r="H145" s="5"/>
      <c r="K145" s="4" t="s">
        <v>43</v>
      </c>
      <c r="M145" s="6"/>
    </row>
    <row r="146" spans="7:13">
      <c r="G146" s="5"/>
      <c r="H146" s="5"/>
      <c r="K146" s="4" t="s">
        <v>43</v>
      </c>
      <c r="M146" s="6"/>
    </row>
    <row r="147" spans="7:13">
      <c r="G147" s="5"/>
      <c r="H147" s="5"/>
      <c r="K147" s="4" t="s">
        <v>43</v>
      </c>
      <c r="M147" s="6"/>
    </row>
    <row r="148" spans="7:13">
      <c r="G148" s="5"/>
      <c r="H148" s="5"/>
      <c r="K148" s="4" t="s">
        <v>43</v>
      </c>
      <c r="M148" s="6"/>
    </row>
    <row r="149" spans="7:13">
      <c r="G149" s="5"/>
      <c r="H149" s="5"/>
      <c r="K149" s="4" t="s">
        <v>43</v>
      </c>
      <c r="M149" s="6"/>
    </row>
    <row r="150" spans="7:13">
      <c r="G150" s="5"/>
      <c r="H150" s="5"/>
      <c r="K150" s="4" t="s">
        <v>43</v>
      </c>
      <c r="M150" s="6"/>
    </row>
    <row r="151" spans="7:13">
      <c r="G151" s="5"/>
      <c r="H151" s="5"/>
      <c r="K151" s="4" t="s">
        <v>43</v>
      </c>
      <c r="M151" s="6"/>
    </row>
    <row r="152" spans="7:13">
      <c r="G152" s="5"/>
      <c r="H152" s="5"/>
      <c r="K152" s="4" t="s">
        <v>43</v>
      </c>
      <c r="M152" s="6"/>
    </row>
    <row r="153" spans="7:13">
      <c r="G153" s="5"/>
      <c r="H153" s="5"/>
      <c r="K153" s="4" t="s">
        <v>43</v>
      </c>
      <c r="M153" s="6"/>
    </row>
    <row r="154" spans="7:13">
      <c r="G154" s="5"/>
      <c r="H154" s="5"/>
      <c r="K154" s="4" t="s">
        <v>43</v>
      </c>
      <c r="M154" s="6"/>
    </row>
    <row r="155" spans="7:13">
      <c r="G155" s="5"/>
      <c r="H155" s="5"/>
      <c r="K155" s="4" t="s">
        <v>43</v>
      </c>
      <c r="M155" s="6"/>
    </row>
    <row r="156" spans="7:13">
      <c r="G156" s="5"/>
      <c r="H156" s="5"/>
      <c r="K156" s="4" t="s">
        <v>43</v>
      </c>
      <c r="M156" s="6"/>
    </row>
    <row r="157" spans="7:13">
      <c r="G157" s="5"/>
      <c r="H157" s="5"/>
      <c r="K157" s="4" t="s">
        <v>43</v>
      </c>
      <c r="M157" s="6"/>
    </row>
    <row r="158" spans="7:13">
      <c r="G158" s="5"/>
      <c r="H158" s="5"/>
      <c r="K158" s="4" t="s">
        <v>43</v>
      </c>
      <c r="M158" s="6"/>
    </row>
    <row r="159" spans="7:13">
      <c r="G159" s="5"/>
      <c r="H159" s="5"/>
      <c r="K159" s="4" t="s">
        <v>43</v>
      </c>
      <c r="M159" s="6"/>
    </row>
    <row r="160" spans="7:13">
      <c r="G160" s="5"/>
      <c r="H160" s="5"/>
      <c r="K160" s="4" t="s">
        <v>43</v>
      </c>
      <c r="M160" s="6"/>
    </row>
    <row r="161" spans="7:13">
      <c r="G161" s="5"/>
      <c r="H161" s="5"/>
      <c r="K161" s="4" t="s">
        <v>43</v>
      </c>
      <c r="M161" s="6"/>
    </row>
    <row r="162" spans="7:13">
      <c r="G162" s="5"/>
      <c r="H162" s="5"/>
      <c r="K162" s="4" t="s">
        <v>43</v>
      </c>
      <c r="M162" s="6"/>
    </row>
    <row r="163" spans="7:13">
      <c r="G163" s="5"/>
      <c r="H163" s="5"/>
      <c r="K163" s="4" t="s">
        <v>43</v>
      </c>
      <c r="M163" s="6"/>
    </row>
    <row r="164" spans="7:13">
      <c r="G164" s="5"/>
      <c r="H164" s="5"/>
      <c r="K164" s="4" t="s">
        <v>43</v>
      </c>
      <c r="M164" s="6"/>
    </row>
    <row r="165" spans="7:13">
      <c r="G165" s="5"/>
      <c r="H165" s="5"/>
      <c r="K165" s="4" t="s">
        <v>43</v>
      </c>
      <c r="M165" s="6"/>
    </row>
    <row r="166" spans="7:13">
      <c r="G166" s="5"/>
      <c r="H166" s="5"/>
      <c r="K166" s="4" t="s">
        <v>43</v>
      </c>
      <c r="M166" s="6"/>
    </row>
    <row r="167" spans="7:13">
      <c r="G167" s="5"/>
      <c r="H167" s="5"/>
      <c r="K167" s="4" t="s">
        <v>43</v>
      </c>
      <c r="M167" s="6"/>
    </row>
    <row r="168" spans="7:13">
      <c r="G168" s="5"/>
      <c r="H168" s="5"/>
      <c r="K168" s="4" t="s">
        <v>43</v>
      </c>
      <c r="M168" s="6"/>
    </row>
    <row r="169" spans="7:13">
      <c r="G169" s="5"/>
      <c r="H169" s="5"/>
      <c r="K169" s="4" t="s">
        <v>43</v>
      </c>
      <c r="M169" s="6"/>
    </row>
    <row r="170" spans="7:13">
      <c r="G170" s="5"/>
      <c r="H170" s="5"/>
      <c r="K170" s="4" t="s">
        <v>43</v>
      </c>
      <c r="M170" s="6"/>
    </row>
    <row r="171" spans="7:13">
      <c r="G171" s="5"/>
      <c r="H171" s="5"/>
      <c r="K171" s="4" t="s">
        <v>43</v>
      </c>
      <c r="M171" s="6"/>
    </row>
    <row r="172" spans="7:13">
      <c r="G172" s="5"/>
      <c r="H172" s="5"/>
      <c r="K172" s="4" t="s">
        <v>43</v>
      </c>
      <c r="M172" s="6"/>
    </row>
    <row r="173" spans="7:13">
      <c r="G173" s="5"/>
      <c r="H173" s="5"/>
      <c r="K173" s="4" t="s">
        <v>43</v>
      </c>
      <c r="M173" s="6"/>
    </row>
    <row r="174" spans="7:13">
      <c r="G174" s="5"/>
      <c r="H174" s="5"/>
      <c r="K174" s="4" t="s">
        <v>43</v>
      </c>
      <c r="M174" s="6"/>
    </row>
    <row r="175" spans="7:13">
      <c r="G175" s="5"/>
      <c r="H175" s="5"/>
      <c r="K175" s="4" t="s">
        <v>43</v>
      </c>
      <c r="M175" s="6"/>
    </row>
    <row r="176" spans="7:13">
      <c r="G176" s="5"/>
      <c r="H176" s="5"/>
      <c r="K176" s="4" t="s">
        <v>43</v>
      </c>
      <c r="M176" s="6"/>
    </row>
    <row r="177" spans="7:13">
      <c r="G177" s="5"/>
      <c r="H177" s="5"/>
      <c r="K177" s="4" t="s">
        <v>43</v>
      </c>
      <c r="M177" s="6"/>
    </row>
    <row r="178" spans="7:13">
      <c r="G178" s="5"/>
      <c r="H178" s="5"/>
      <c r="K178" s="4" t="s">
        <v>43</v>
      </c>
      <c r="M178" s="6"/>
    </row>
    <row r="179" spans="7:13">
      <c r="G179" s="5"/>
      <c r="H179" s="5"/>
      <c r="K179" s="4" t="s">
        <v>43</v>
      </c>
      <c r="M179" s="6"/>
    </row>
    <row r="180" spans="7:13">
      <c r="G180" s="5"/>
      <c r="H180" s="5"/>
      <c r="K180" s="4" t="s">
        <v>43</v>
      </c>
      <c r="M180" s="6"/>
    </row>
    <row r="181" spans="7:13">
      <c r="G181" s="5"/>
      <c r="H181" s="5"/>
      <c r="K181" s="4" t="s">
        <v>43</v>
      </c>
      <c r="M181" s="6"/>
    </row>
    <row r="182" spans="7:13">
      <c r="G182" s="5"/>
      <c r="H182" s="5"/>
      <c r="K182" s="4" t="s">
        <v>43</v>
      </c>
      <c r="M182" s="6"/>
    </row>
    <row r="183" spans="7:13">
      <c r="G183" s="5"/>
      <c r="H183" s="5"/>
      <c r="K183" s="4" t="s">
        <v>43</v>
      </c>
      <c r="M183" s="6"/>
    </row>
    <row r="184" spans="7:13">
      <c r="G184" s="5"/>
      <c r="H184" s="5"/>
      <c r="K184" s="4" t="s">
        <v>43</v>
      </c>
      <c r="M184" s="6"/>
    </row>
    <row r="185" spans="7:13">
      <c r="G185" s="5"/>
      <c r="H185" s="5"/>
      <c r="K185" s="4" t="s">
        <v>43</v>
      </c>
      <c r="M185" s="6"/>
    </row>
    <row r="186" spans="7:13">
      <c r="G186" s="5"/>
      <c r="H186" s="5"/>
      <c r="K186" s="4" t="s">
        <v>43</v>
      </c>
      <c r="M186" s="6"/>
    </row>
    <row r="187" spans="7:13">
      <c r="G187" s="5"/>
      <c r="H187" s="5"/>
      <c r="K187" s="4" t="s">
        <v>43</v>
      </c>
      <c r="M187" s="6"/>
    </row>
    <row r="188" spans="7:13">
      <c r="G188" s="5"/>
      <c r="H188" s="5"/>
      <c r="K188" s="4" t="s">
        <v>43</v>
      </c>
      <c r="M188" s="6"/>
    </row>
    <row r="189" spans="7:13">
      <c r="G189" s="5"/>
      <c r="H189" s="5"/>
      <c r="K189" s="4" t="s">
        <v>43</v>
      </c>
      <c r="M189" s="6"/>
    </row>
    <row r="190" spans="7:13">
      <c r="G190" s="5"/>
      <c r="H190" s="5"/>
      <c r="K190" s="4" t="s">
        <v>43</v>
      </c>
      <c r="M190" s="6"/>
    </row>
    <row r="191" spans="7:13">
      <c r="G191" s="5"/>
      <c r="H191" s="5"/>
      <c r="K191" s="4" t="s">
        <v>43</v>
      </c>
      <c r="M191" s="6"/>
    </row>
    <row r="192" spans="7:13">
      <c r="G192" s="5"/>
      <c r="H192" s="5"/>
      <c r="K192" s="4" t="s">
        <v>43</v>
      </c>
      <c r="M192" s="6"/>
    </row>
    <row r="193" spans="7:13">
      <c r="G193" s="5"/>
      <c r="H193" s="5"/>
      <c r="K193" s="4" t="s">
        <v>43</v>
      </c>
      <c r="M193" s="6"/>
    </row>
    <row r="194" spans="7:13">
      <c r="G194" s="5"/>
      <c r="H194" s="5"/>
      <c r="K194" s="4" t="s">
        <v>43</v>
      </c>
      <c r="M194" s="6"/>
    </row>
    <row r="195" spans="7:13">
      <c r="G195" s="5"/>
      <c r="H195" s="5"/>
      <c r="K195" s="4" t="s">
        <v>43</v>
      </c>
      <c r="M195" s="6"/>
    </row>
    <row r="196" spans="7:13">
      <c r="G196" s="5"/>
      <c r="H196" s="5"/>
      <c r="K196" s="4" t="s">
        <v>43</v>
      </c>
      <c r="M196" s="6"/>
    </row>
    <row r="197" spans="7:13">
      <c r="G197" s="5"/>
      <c r="H197" s="5"/>
      <c r="K197" s="4" t="s">
        <v>43</v>
      </c>
      <c r="M197" s="6"/>
    </row>
    <row r="198" spans="7:13">
      <c r="G198" s="5"/>
      <c r="H198" s="5"/>
      <c r="K198" s="4" t="s">
        <v>43</v>
      </c>
      <c r="M198" s="6"/>
    </row>
    <row r="199" spans="7:13">
      <c r="G199" s="5"/>
      <c r="H199" s="5"/>
      <c r="K199" s="4" t="s">
        <v>43</v>
      </c>
      <c r="M199" s="6"/>
    </row>
    <row r="200" spans="7:13">
      <c r="G200" s="5"/>
      <c r="H200" s="5"/>
      <c r="K200" s="4" t="s">
        <v>43</v>
      </c>
      <c r="M200" s="6"/>
    </row>
    <row r="201" spans="7:13">
      <c r="G201" s="5"/>
      <c r="H201" s="5"/>
      <c r="K201" s="4" t="s">
        <v>43</v>
      </c>
      <c r="M201" s="6"/>
    </row>
    <row r="202" spans="7:13">
      <c r="G202" s="5"/>
      <c r="H202" s="5"/>
      <c r="K202" s="4" t="s">
        <v>43</v>
      </c>
      <c r="M202" s="6"/>
    </row>
    <row r="203" spans="7:13">
      <c r="G203" s="5"/>
      <c r="H203" s="5"/>
      <c r="K203" s="4" t="s">
        <v>43</v>
      </c>
      <c r="M203" s="6"/>
    </row>
    <row r="204" spans="7:13">
      <c r="G204" s="5"/>
      <c r="H204" s="5"/>
      <c r="K204" s="4" t="s">
        <v>43</v>
      </c>
      <c r="M204" s="6"/>
    </row>
    <row r="205" spans="7:13">
      <c r="G205" s="5"/>
      <c r="H205" s="5"/>
      <c r="K205" s="4" t="s">
        <v>43</v>
      </c>
      <c r="M205" s="6"/>
    </row>
    <row r="206" spans="7:13">
      <c r="G206" s="5"/>
      <c r="H206" s="5"/>
      <c r="K206" s="4" t="s">
        <v>43</v>
      </c>
      <c r="M206" s="6"/>
    </row>
    <row r="207" spans="7:13">
      <c r="G207" s="5"/>
      <c r="H207" s="5"/>
      <c r="K207" s="4" t="s">
        <v>43</v>
      </c>
      <c r="M207" s="6"/>
    </row>
    <row r="208" spans="7:13">
      <c r="G208" s="5"/>
      <c r="H208" s="5"/>
      <c r="K208" s="4" t="s">
        <v>43</v>
      </c>
      <c r="M208" s="6"/>
    </row>
    <row r="209" spans="7:13">
      <c r="G209" s="5"/>
      <c r="H209" s="5"/>
      <c r="K209" s="4" t="s">
        <v>43</v>
      </c>
      <c r="M209" s="6"/>
    </row>
    <row r="210" spans="7:13">
      <c r="G210" s="5"/>
      <c r="H210" s="5"/>
      <c r="K210" s="4" t="s">
        <v>43</v>
      </c>
      <c r="M210" s="6"/>
    </row>
    <row r="211" spans="7:13">
      <c r="G211" s="5"/>
      <c r="H211" s="5"/>
      <c r="M211" s="6"/>
    </row>
    <row r="212" spans="7:13">
      <c r="G212" s="5"/>
      <c r="H212" s="5"/>
      <c r="M212" s="6"/>
    </row>
    <row r="213" spans="7:13">
      <c r="G213" s="5"/>
      <c r="H213" s="5"/>
      <c r="M213" s="6"/>
    </row>
    <row r="214" spans="7:13">
      <c r="G214" s="5"/>
      <c r="H214" s="5"/>
      <c r="M214" s="6"/>
    </row>
    <row r="215" spans="7:13">
      <c r="G215" s="5"/>
      <c r="H215" s="5"/>
      <c r="M215" s="6"/>
    </row>
    <row r="216" spans="7:13">
      <c r="G216" s="5"/>
      <c r="H216" s="5"/>
      <c r="M216" s="6"/>
    </row>
    <row r="217" spans="7:13">
      <c r="G217" s="5"/>
      <c r="H217" s="5"/>
      <c r="M217" s="6"/>
    </row>
    <row r="218" spans="7:13">
      <c r="G218" s="5"/>
      <c r="H218" s="5"/>
      <c r="M218" s="6"/>
    </row>
    <row r="219" spans="7:13">
      <c r="G219" s="5"/>
      <c r="H219" s="5"/>
      <c r="M219" s="6"/>
    </row>
    <row r="220" spans="7:13">
      <c r="G220" s="5"/>
      <c r="H220" s="5"/>
      <c r="M220" s="6"/>
    </row>
    <row r="221" spans="7:13">
      <c r="G221" s="5"/>
      <c r="H221" s="5"/>
      <c r="M221" s="6"/>
    </row>
    <row r="222" spans="7:13">
      <c r="G222" s="5"/>
      <c r="H222" s="5"/>
      <c r="M222" s="6"/>
    </row>
    <row r="223" spans="7:13">
      <c r="G223" s="5"/>
      <c r="H223" s="5"/>
      <c r="M223" s="6"/>
    </row>
    <row r="224" spans="7:13">
      <c r="G224" s="5"/>
      <c r="H224" s="5"/>
      <c r="M224" s="6"/>
    </row>
    <row r="225" spans="7:13">
      <c r="G225" s="5"/>
      <c r="H225" s="5"/>
      <c r="M225" s="6"/>
    </row>
    <row r="226" spans="7:13">
      <c r="G226" s="5"/>
      <c r="H226" s="5"/>
      <c r="M226" s="6"/>
    </row>
    <row r="227" spans="7:13">
      <c r="G227" s="5"/>
      <c r="H227" s="5"/>
      <c r="M227" s="6"/>
    </row>
    <row r="228" spans="7:13">
      <c r="G228" s="5"/>
      <c r="H228" s="5"/>
      <c r="M228" s="6"/>
    </row>
    <row r="229" spans="7:13">
      <c r="G229" s="5"/>
      <c r="H229" s="5"/>
      <c r="M229" s="6"/>
    </row>
    <row r="230" spans="7:13">
      <c r="G230" s="5"/>
      <c r="H230" s="5"/>
      <c r="M230" s="6"/>
    </row>
    <row r="231" spans="7:13">
      <c r="G231" s="5"/>
      <c r="H231" s="5"/>
      <c r="M231" s="6"/>
    </row>
    <row r="232" spans="7:13">
      <c r="G232" s="5"/>
      <c r="H232" s="5"/>
      <c r="M232" s="6"/>
    </row>
    <row r="233" spans="7:13">
      <c r="G233" s="5"/>
      <c r="H233" s="5"/>
      <c r="M233" s="6"/>
    </row>
    <row r="234" spans="7:13">
      <c r="G234" s="5"/>
      <c r="H234" s="5"/>
      <c r="M234" s="6"/>
    </row>
    <row r="235" spans="7:13">
      <c r="G235" s="5"/>
      <c r="H235" s="5"/>
      <c r="M235" s="6"/>
    </row>
    <row r="236" spans="7:13">
      <c r="G236" s="5"/>
      <c r="H236" s="5"/>
      <c r="M236" s="6"/>
    </row>
    <row r="237" spans="7:13">
      <c r="G237" s="5"/>
      <c r="H237" s="5"/>
      <c r="M237" s="6"/>
    </row>
    <row r="238" spans="7:13">
      <c r="G238" s="5"/>
      <c r="H238" s="5"/>
      <c r="M238" s="6"/>
    </row>
    <row r="239" spans="7:13">
      <c r="G239" s="5"/>
      <c r="H239" s="5"/>
      <c r="M239" s="6"/>
    </row>
    <row r="240" spans="7:13">
      <c r="G240" s="5"/>
      <c r="H240" s="5"/>
      <c r="M240" s="6"/>
    </row>
    <row r="241" spans="7:13">
      <c r="G241" s="5"/>
      <c r="H241" s="5"/>
      <c r="M241" s="6"/>
    </row>
    <row r="242" spans="7:13">
      <c r="G242" s="5"/>
      <c r="H242" s="5"/>
      <c r="M242" s="6"/>
    </row>
    <row r="243" spans="7:13">
      <c r="G243" s="5"/>
      <c r="H243" s="5"/>
      <c r="M243" s="6"/>
    </row>
    <row r="244" spans="7:13">
      <c r="G244" s="5"/>
      <c r="H244" s="5"/>
      <c r="M244" s="6"/>
    </row>
    <row r="245" spans="7:13">
      <c r="G245" s="5"/>
      <c r="H245" s="5"/>
      <c r="M245" s="6"/>
    </row>
    <row r="246" spans="7:13">
      <c r="G246" s="5"/>
      <c r="H246" s="5"/>
      <c r="M246" s="6"/>
    </row>
    <row r="247" spans="7:13">
      <c r="G247" s="5"/>
      <c r="H247" s="5"/>
      <c r="M247" s="6"/>
    </row>
    <row r="248" spans="7:13">
      <c r="G248" s="5"/>
      <c r="H248" s="5"/>
      <c r="M248" s="6"/>
    </row>
    <row r="249" spans="7:13">
      <c r="G249" s="5"/>
      <c r="H249" s="5"/>
      <c r="M249" s="6"/>
    </row>
    <row r="250" spans="7:13">
      <c r="G250" s="5"/>
      <c r="H250" s="5"/>
      <c r="M250" s="6"/>
    </row>
    <row r="251" spans="7:13">
      <c r="G251" s="5"/>
      <c r="H251" s="5"/>
      <c r="M251" s="6"/>
    </row>
    <row r="252" spans="7:13">
      <c r="G252" s="5"/>
      <c r="H252" s="5"/>
      <c r="M252" s="6"/>
    </row>
    <row r="253" spans="7:13">
      <c r="G253" s="5"/>
      <c r="H253" s="5"/>
      <c r="M253" s="6"/>
    </row>
    <row r="254" spans="7:13">
      <c r="G254" s="5"/>
      <c r="H254" s="5"/>
      <c r="M254" s="6"/>
    </row>
    <row r="255" spans="7:13">
      <c r="G255" s="5"/>
      <c r="H255" s="5"/>
      <c r="M255" s="6"/>
    </row>
    <row r="256" spans="7:13">
      <c r="G256" s="5"/>
      <c r="H256" s="5"/>
      <c r="M256" s="6"/>
    </row>
    <row r="257" spans="7:13">
      <c r="G257" s="5"/>
      <c r="H257" s="5"/>
      <c r="M257" s="6"/>
    </row>
    <row r="258" spans="7:13">
      <c r="G258" s="5"/>
      <c r="H258" s="5"/>
      <c r="M258" s="6"/>
    </row>
    <row r="259" spans="7:13">
      <c r="G259" s="5"/>
      <c r="H259" s="5"/>
      <c r="M259" s="6"/>
    </row>
    <row r="260" spans="7:13">
      <c r="G260" s="5"/>
      <c r="H260" s="5"/>
      <c r="M260" s="6"/>
    </row>
    <row r="261" spans="7:13">
      <c r="G261" s="5"/>
      <c r="H261" s="5"/>
      <c r="M261" s="6"/>
    </row>
    <row r="262" spans="7:13">
      <c r="G262" s="5"/>
      <c r="H262" s="5"/>
      <c r="M262" s="6"/>
    </row>
    <row r="263" spans="7:13">
      <c r="G263" s="5"/>
      <c r="H263" s="5"/>
      <c r="M263" s="6"/>
    </row>
    <row r="264" spans="7:13">
      <c r="G264" s="5"/>
      <c r="H264" s="5"/>
      <c r="M264" s="6"/>
    </row>
    <row r="265" spans="7:13">
      <c r="G265" s="5"/>
      <c r="H265" s="5"/>
      <c r="M265" s="6"/>
    </row>
    <row r="266" spans="7:13">
      <c r="G266" s="5"/>
      <c r="H266" s="5"/>
      <c r="M266" s="6"/>
    </row>
    <row r="267" spans="7:13">
      <c r="G267" s="5"/>
      <c r="H267" s="5"/>
      <c r="M267" s="6"/>
    </row>
    <row r="268" spans="7:13">
      <c r="G268" s="5"/>
      <c r="H268" s="5"/>
      <c r="M268" s="6"/>
    </row>
    <row r="269" spans="7:13">
      <c r="G269" s="5"/>
      <c r="H269" s="5"/>
      <c r="M269" s="6"/>
    </row>
    <row r="270" spans="7:13">
      <c r="G270" s="5"/>
      <c r="H270" s="5"/>
      <c r="M270" s="6"/>
    </row>
    <row r="271" spans="7:13">
      <c r="G271" s="5"/>
      <c r="H271" s="5"/>
      <c r="M271" s="6"/>
    </row>
    <row r="272" spans="7:13">
      <c r="G272" s="5"/>
      <c r="H272" s="5"/>
      <c r="M272" s="6"/>
    </row>
    <row r="273" spans="7:13">
      <c r="G273" s="5"/>
      <c r="H273" s="5"/>
      <c r="M273" s="6"/>
    </row>
    <row r="274" spans="7:13">
      <c r="G274" s="5"/>
      <c r="H274" s="5"/>
      <c r="M274" s="6"/>
    </row>
    <row r="275" spans="7:13">
      <c r="G275" s="5"/>
      <c r="H275" s="5"/>
      <c r="M275" s="6"/>
    </row>
    <row r="276" spans="7:13">
      <c r="G276" s="5"/>
      <c r="H276" s="5"/>
      <c r="M276" s="6"/>
    </row>
    <row r="277" spans="7:13">
      <c r="G277" s="5"/>
      <c r="H277" s="5"/>
      <c r="M277" s="6"/>
    </row>
    <row r="278" spans="7:13">
      <c r="G278" s="5"/>
      <c r="H278" s="5"/>
      <c r="M278" s="6"/>
    </row>
    <row r="279" spans="7:13">
      <c r="G279" s="5"/>
      <c r="H279" s="5"/>
      <c r="M279" s="6"/>
    </row>
    <row r="280" spans="7:13">
      <c r="G280" s="5"/>
      <c r="H280" s="5"/>
      <c r="M280" s="6"/>
    </row>
    <row r="281" spans="7:13">
      <c r="G281" s="5"/>
      <c r="H281" s="5"/>
      <c r="M281" s="6"/>
    </row>
    <row r="282" spans="7:13">
      <c r="G282" s="5"/>
      <c r="H282" s="5"/>
      <c r="M282" s="6"/>
    </row>
    <row r="283" spans="7:13">
      <c r="G283" s="5"/>
      <c r="H283" s="5"/>
      <c r="M283" s="6"/>
    </row>
    <row r="284" spans="7:13">
      <c r="G284" s="5"/>
      <c r="H284" s="5"/>
      <c r="M284" s="6"/>
    </row>
    <row r="285" spans="7:13">
      <c r="G285" s="5"/>
      <c r="H285" s="5"/>
      <c r="M285" s="6"/>
    </row>
    <row r="286" spans="7:13">
      <c r="G286" s="5"/>
      <c r="H286" s="5"/>
      <c r="M286" s="6"/>
    </row>
    <row r="287" spans="7:13">
      <c r="G287" s="5"/>
      <c r="H287" s="5"/>
      <c r="M287" s="6"/>
    </row>
    <row r="288" spans="7:13">
      <c r="G288" s="5"/>
      <c r="H288" s="5"/>
      <c r="M288" s="6"/>
    </row>
    <row r="289" spans="7:13">
      <c r="G289" s="5"/>
      <c r="H289" s="5"/>
      <c r="M289" s="6"/>
    </row>
    <row r="290" spans="7:13">
      <c r="G290" s="5"/>
      <c r="H290" s="5"/>
      <c r="M290" s="6"/>
    </row>
    <row r="291" spans="7:13">
      <c r="G291" s="5"/>
      <c r="H291" s="5"/>
      <c r="M291" s="6"/>
    </row>
    <row r="292" spans="7:13">
      <c r="G292" s="5"/>
      <c r="H292" s="5"/>
      <c r="M292" s="6"/>
    </row>
    <row r="293" spans="7:13">
      <c r="G293" s="5"/>
      <c r="H293" s="5"/>
      <c r="M293" s="6"/>
    </row>
    <row r="294" spans="7:13">
      <c r="G294" s="5"/>
      <c r="H294" s="5"/>
      <c r="M294" s="6"/>
    </row>
    <row r="295" spans="7:13">
      <c r="G295" s="5"/>
      <c r="H295" s="5"/>
      <c r="M295" s="6"/>
    </row>
    <row r="296" spans="7:13">
      <c r="G296" s="5"/>
      <c r="H296" s="5"/>
      <c r="M296" s="6"/>
    </row>
    <row r="297" spans="7:13">
      <c r="G297" s="5"/>
      <c r="H297" s="5"/>
      <c r="M297" s="6"/>
    </row>
    <row r="298" spans="7:13">
      <c r="G298" s="5"/>
      <c r="H298" s="5"/>
      <c r="M298" s="6"/>
    </row>
    <row r="299" spans="7:13">
      <c r="G299" s="5"/>
      <c r="H299" s="5"/>
      <c r="M299" s="6"/>
    </row>
    <row r="300" spans="7:13">
      <c r="G300" s="5"/>
      <c r="H300" s="5"/>
      <c r="M300" s="6"/>
    </row>
    <row r="301" spans="7:13">
      <c r="G301" s="5"/>
      <c r="H301" s="5"/>
      <c r="M301" s="6"/>
    </row>
    <row r="302" spans="7:13">
      <c r="G302" s="5"/>
      <c r="H302" s="5"/>
      <c r="M302" s="6"/>
    </row>
    <row r="303" spans="7:13">
      <c r="G303" s="5"/>
      <c r="H303" s="5"/>
      <c r="M303" s="6"/>
    </row>
    <row r="304" spans="7:13">
      <c r="G304" s="5"/>
      <c r="H304" s="5"/>
      <c r="M304" s="6"/>
    </row>
    <row r="305" spans="7:13">
      <c r="G305" s="5"/>
      <c r="H305" s="5"/>
      <c r="M305" s="6"/>
    </row>
    <row r="306" spans="7:13">
      <c r="G306" s="5"/>
      <c r="H306" s="5"/>
      <c r="M306" s="6"/>
    </row>
    <row r="307" spans="7:13">
      <c r="G307" s="5"/>
      <c r="H307" s="5"/>
      <c r="M307" s="6"/>
    </row>
    <row r="308" spans="7:13">
      <c r="G308" s="5"/>
      <c r="H308" s="5"/>
      <c r="M308" s="6"/>
    </row>
    <row r="309" spans="7:13">
      <c r="G309" s="5"/>
      <c r="H309" s="5"/>
      <c r="M309" s="6"/>
    </row>
    <row r="310" spans="7:13">
      <c r="G310" s="5"/>
      <c r="H310" s="5"/>
      <c r="M310" s="6"/>
    </row>
    <row r="311" spans="7:13">
      <c r="G311" s="5"/>
      <c r="H311" s="5"/>
      <c r="M311" s="6"/>
    </row>
    <row r="312" spans="7:13">
      <c r="G312" s="5"/>
      <c r="H312" s="5"/>
      <c r="M312" s="6"/>
    </row>
    <row r="313" spans="7:13">
      <c r="G313" s="5"/>
      <c r="H313" s="5"/>
      <c r="M313" s="6"/>
    </row>
    <row r="314" spans="7:13">
      <c r="G314" s="5"/>
      <c r="H314" s="5"/>
      <c r="M314" s="6"/>
    </row>
    <row r="315" spans="7:13">
      <c r="G315" s="5"/>
      <c r="H315" s="5"/>
      <c r="M315" s="6"/>
    </row>
    <row r="316" spans="7:13">
      <c r="G316" s="5"/>
      <c r="H316" s="5"/>
      <c r="M316" s="6"/>
    </row>
    <row r="317" spans="7:13">
      <c r="G317" s="5"/>
      <c r="H317" s="5"/>
      <c r="M317" s="6"/>
    </row>
    <row r="318" spans="7:13">
      <c r="G318" s="5"/>
      <c r="H318" s="5"/>
      <c r="M318" s="6"/>
    </row>
    <row r="319" spans="7:13">
      <c r="G319" s="5"/>
      <c r="H319" s="5"/>
      <c r="M319" s="6"/>
    </row>
    <row r="320" spans="7:13">
      <c r="G320" s="5"/>
      <c r="H320" s="5"/>
      <c r="M320" s="6"/>
    </row>
    <row r="321" spans="7:13">
      <c r="G321" s="5"/>
      <c r="H321" s="5"/>
      <c r="M321" s="6"/>
    </row>
    <row r="322" spans="7:13">
      <c r="G322" s="5"/>
      <c r="H322" s="5"/>
      <c r="M322" s="6"/>
    </row>
    <row r="323" spans="7:13">
      <c r="G323" s="5"/>
      <c r="H323" s="5"/>
      <c r="M323" s="6"/>
    </row>
    <row r="324" spans="7:13">
      <c r="G324" s="5"/>
      <c r="H324" s="5"/>
      <c r="M324" s="6"/>
    </row>
    <row r="325" spans="7:13">
      <c r="G325" s="5"/>
      <c r="H325" s="5"/>
      <c r="M325" s="6"/>
    </row>
    <row r="326" spans="7:13">
      <c r="G326" s="5"/>
      <c r="H326" s="5"/>
      <c r="M326" s="6"/>
    </row>
    <row r="327" spans="7:13">
      <c r="G327" s="5"/>
      <c r="H327" s="5"/>
      <c r="M327" s="6"/>
    </row>
    <row r="328" spans="7:13">
      <c r="G328" s="5"/>
      <c r="H328" s="5"/>
      <c r="M328" s="6"/>
    </row>
    <row r="329" spans="7:13">
      <c r="G329" s="5"/>
      <c r="H329" s="5"/>
      <c r="M329" s="6"/>
    </row>
    <row r="330" spans="7:13">
      <c r="G330" s="5"/>
      <c r="H330" s="5"/>
      <c r="M330" s="6"/>
    </row>
    <row r="331" spans="7:13">
      <c r="G331" s="5"/>
      <c r="H331" s="5"/>
      <c r="M331" s="6"/>
    </row>
    <row r="332" spans="7:13">
      <c r="G332" s="5"/>
      <c r="H332" s="5"/>
      <c r="M332" s="6"/>
    </row>
    <row r="333" spans="7:13">
      <c r="G333" s="5"/>
      <c r="H333" s="5"/>
      <c r="M333" s="6"/>
    </row>
    <row r="334" spans="7:13">
      <c r="G334" s="5"/>
      <c r="H334" s="5"/>
      <c r="M334" s="6"/>
    </row>
    <row r="335" spans="7:13">
      <c r="G335" s="5"/>
      <c r="H335" s="5"/>
      <c r="M335" s="6"/>
    </row>
    <row r="336" spans="7:13">
      <c r="G336" s="5"/>
      <c r="H336" s="5"/>
      <c r="M336" s="6"/>
    </row>
    <row r="337" spans="7:13">
      <c r="G337" s="5"/>
      <c r="H337" s="5"/>
      <c r="M337" s="6"/>
    </row>
    <row r="338" spans="7:13">
      <c r="G338" s="5"/>
      <c r="H338" s="5"/>
      <c r="M338" s="6"/>
    </row>
    <row r="339" spans="7:13">
      <c r="G339" s="5"/>
      <c r="H339" s="5"/>
      <c r="M339" s="6"/>
    </row>
    <row r="340" spans="7:13">
      <c r="G340" s="5"/>
      <c r="H340" s="5"/>
      <c r="M340" s="6"/>
    </row>
    <row r="341" spans="7:13">
      <c r="G341" s="5"/>
      <c r="H341" s="5"/>
      <c r="M341" s="6"/>
    </row>
    <row r="342" spans="7:13">
      <c r="G342" s="5"/>
      <c r="H342" s="5"/>
      <c r="M342" s="6"/>
    </row>
    <row r="343" spans="7:13">
      <c r="G343" s="5"/>
      <c r="H343" s="5"/>
      <c r="M343" s="6"/>
    </row>
    <row r="344" spans="7:13">
      <c r="G344" s="5"/>
      <c r="H344" s="5"/>
      <c r="M344" s="6"/>
    </row>
    <row r="345" spans="7:13">
      <c r="G345" s="5"/>
      <c r="H345" s="5"/>
      <c r="M345" s="6"/>
    </row>
    <row r="346" spans="7:13">
      <c r="G346" s="5"/>
      <c r="H346" s="5"/>
      <c r="M346" s="6"/>
    </row>
    <row r="347" spans="7:13">
      <c r="G347" s="5"/>
      <c r="H347" s="5"/>
      <c r="M347" s="6"/>
    </row>
    <row r="348" spans="7:13">
      <c r="G348" s="5"/>
      <c r="H348" s="5"/>
      <c r="M348" s="6"/>
    </row>
    <row r="349" spans="7:13">
      <c r="G349" s="5"/>
      <c r="H349" s="5"/>
      <c r="M349" s="6"/>
    </row>
    <row r="350" spans="7:13">
      <c r="G350" s="5"/>
      <c r="H350" s="5"/>
      <c r="M350" s="6"/>
    </row>
    <row r="351" spans="7:13">
      <c r="G351" s="5"/>
      <c r="H351" s="5"/>
      <c r="M351" s="6"/>
    </row>
    <row r="352" spans="7:13">
      <c r="G352" s="5"/>
      <c r="H352" s="5"/>
      <c r="M352" s="6"/>
    </row>
    <row r="353" spans="7:13">
      <c r="G353" s="5"/>
      <c r="H353" s="5"/>
      <c r="M353" s="6"/>
    </row>
    <row r="354" spans="7:13">
      <c r="G354" s="5"/>
      <c r="H354" s="5"/>
      <c r="M354" s="6"/>
    </row>
    <row r="355" spans="7:13">
      <c r="G355" s="5"/>
      <c r="H355" s="5"/>
      <c r="M355" s="6"/>
    </row>
    <row r="356" spans="7:13">
      <c r="G356" s="5"/>
      <c r="H356" s="5"/>
      <c r="M356" s="6"/>
    </row>
    <row r="357" spans="7:13">
      <c r="G357" s="5"/>
      <c r="H357" s="5"/>
      <c r="M357" s="6"/>
    </row>
    <row r="358" spans="7:13">
      <c r="G358" s="5"/>
      <c r="H358" s="5"/>
      <c r="M358" s="6"/>
    </row>
    <row r="359" spans="7:13">
      <c r="G359" s="5"/>
      <c r="H359" s="5"/>
      <c r="M359" s="6"/>
    </row>
    <row r="360" spans="7:13">
      <c r="G360" s="5"/>
      <c r="H360" s="5"/>
      <c r="M360" s="6"/>
    </row>
    <row r="361" spans="7:13">
      <c r="G361" s="5"/>
      <c r="H361" s="5"/>
      <c r="M361" s="6"/>
    </row>
    <row r="362" spans="7:13">
      <c r="G362" s="5"/>
      <c r="H362" s="5"/>
      <c r="M362" s="6"/>
    </row>
    <row r="363" spans="7:13">
      <c r="G363" s="5"/>
      <c r="H363" s="5"/>
      <c r="M363" s="6"/>
    </row>
    <row r="364" spans="7:13">
      <c r="G364" s="5"/>
      <c r="H364" s="5"/>
      <c r="M364" s="6"/>
    </row>
    <row r="365" spans="7:13">
      <c r="G365" s="5"/>
      <c r="H365" s="5"/>
      <c r="M365" s="6"/>
    </row>
    <row r="366" spans="7:13">
      <c r="G366" s="5"/>
      <c r="H366" s="5"/>
      <c r="M366" s="6"/>
    </row>
    <row r="367" spans="7:13">
      <c r="G367" s="5"/>
      <c r="H367" s="5"/>
      <c r="M367" s="6"/>
    </row>
    <row r="368" spans="7:13">
      <c r="G368" s="5"/>
      <c r="H368" s="5"/>
      <c r="M368" s="6"/>
    </row>
    <row r="369" spans="7:13">
      <c r="G369" s="5"/>
      <c r="H369" s="5"/>
      <c r="M369" s="6"/>
    </row>
    <row r="370" spans="7:13">
      <c r="G370" s="5"/>
      <c r="H370" s="5"/>
      <c r="M370" s="6"/>
    </row>
    <row r="371" spans="7:13">
      <c r="G371" s="5"/>
      <c r="H371" s="5"/>
      <c r="M371" s="6"/>
    </row>
    <row r="372" spans="7:13">
      <c r="G372" s="5"/>
      <c r="H372" s="5"/>
      <c r="M372" s="6"/>
    </row>
    <row r="373" spans="7:13">
      <c r="G373" s="5"/>
      <c r="H373" s="5"/>
      <c r="M373" s="6"/>
    </row>
    <row r="374" spans="7:13">
      <c r="G374" s="5"/>
      <c r="H374" s="5"/>
      <c r="M374" s="6"/>
    </row>
    <row r="375" spans="7:13">
      <c r="G375" s="5"/>
      <c r="H375" s="5"/>
      <c r="M375" s="6"/>
    </row>
    <row r="376" spans="7:13">
      <c r="G376" s="5"/>
      <c r="H376" s="5"/>
      <c r="M376" s="6"/>
    </row>
    <row r="377" spans="7:13">
      <c r="G377" s="5"/>
      <c r="H377" s="5"/>
      <c r="M377" s="6"/>
    </row>
    <row r="378" spans="7:13">
      <c r="G378" s="5"/>
      <c r="H378" s="5"/>
      <c r="M378" s="6"/>
    </row>
    <row r="379" spans="7:13">
      <c r="G379" s="5"/>
      <c r="H379" s="5"/>
      <c r="M379" s="6"/>
    </row>
    <row r="380" spans="7:13">
      <c r="G380" s="5"/>
      <c r="H380" s="5"/>
      <c r="M380" s="6"/>
    </row>
    <row r="381" spans="7:13">
      <c r="G381" s="5"/>
      <c r="H381" s="5"/>
      <c r="M381" s="6"/>
    </row>
    <row r="382" spans="7:13">
      <c r="G382" s="5"/>
      <c r="H382" s="5"/>
      <c r="M382" s="6"/>
    </row>
    <row r="383" spans="7:13">
      <c r="G383" s="5"/>
      <c r="H383" s="5"/>
      <c r="M383" s="6"/>
    </row>
    <row r="384" spans="7:13">
      <c r="G384" s="5"/>
      <c r="H384" s="5"/>
      <c r="M384" s="6"/>
    </row>
    <row r="385" spans="7:13">
      <c r="G385" s="5"/>
      <c r="H385" s="5"/>
      <c r="M385" s="6"/>
    </row>
    <row r="386" spans="7:13">
      <c r="G386" s="5"/>
      <c r="H386" s="5"/>
      <c r="M386" s="6"/>
    </row>
    <row r="387" spans="7:13">
      <c r="G387" s="5"/>
      <c r="H387" s="5"/>
      <c r="M387" s="6"/>
    </row>
    <row r="388" spans="7:13">
      <c r="G388" s="5"/>
      <c r="H388" s="5"/>
      <c r="M388" s="6"/>
    </row>
    <row r="389" spans="7:13">
      <c r="G389" s="5"/>
      <c r="H389" s="5"/>
      <c r="M389" s="6"/>
    </row>
    <row r="390" spans="7:13">
      <c r="G390" s="5"/>
      <c r="H390" s="5"/>
      <c r="M390" s="6"/>
    </row>
    <row r="391" spans="7:13">
      <c r="G391" s="5"/>
      <c r="H391" s="5"/>
      <c r="M391" s="6"/>
    </row>
    <row r="392" spans="7:13">
      <c r="G392" s="5"/>
      <c r="H392" s="5"/>
      <c r="M392" s="6"/>
    </row>
    <row r="393" spans="7:13">
      <c r="G393" s="5"/>
      <c r="H393" s="5"/>
      <c r="M393" s="6"/>
    </row>
    <row r="394" spans="7:13">
      <c r="G394" s="5"/>
      <c r="H394" s="5"/>
      <c r="M394" s="6"/>
    </row>
    <row r="395" spans="7:13">
      <c r="G395" s="5"/>
      <c r="H395" s="5"/>
      <c r="M395" s="6"/>
    </row>
    <row r="396" spans="7:13">
      <c r="G396" s="5"/>
      <c r="H396" s="5"/>
      <c r="M396" s="6"/>
    </row>
    <row r="397" spans="7:13">
      <c r="G397" s="5"/>
      <c r="H397" s="5"/>
      <c r="M397" s="6"/>
    </row>
    <row r="398" spans="7:13">
      <c r="G398" s="5"/>
      <c r="H398" s="5"/>
      <c r="M398" s="6"/>
    </row>
    <row r="399" spans="7:13">
      <c r="G399" s="5"/>
      <c r="H399" s="5"/>
      <c r="M399" s="6"/>
    </row>
    <row r="400" spans="7:13">
      <c r="G400" s="5"/>
      <c r="H400" s="5"/>
      <c r="M400" s="6"/>
    </row>
    <row r="401" spans="7:13">
      <c r="G401" s="5"/>
      <c r="H401" s="5"/>
      <c r="M401" s="6"/>
    </row>
    <row r="402" spans="7:13">
      <c r="G402" s="5"/>
      <c r="H402" s="5"/>
      <c r="M402" s="6"/>
    </row>
    <row r="403" spans="7:13">
      <c r="G403" s="5"/>
      <c r="H403" s="5"/>
      <c r="M403" s="6"/>
    </row>
    <row r="404" spans="7:13">
      <c r="G404" s="5"/>
      <c r="H404" s="5"/>
      <c r="M404" s="6"/>
    </row>
    <row r="405" spans="7:13">
      <c r="G405" s="5"/>
      <c r="H405" s="5"/>
      <c r="M405" s="6"/>
    </row>
    <row r="406" spans="7:13">
      <c r="G406" s="5"/>
      <c r="H406" s="5"/>
      <c r="M406" s="6"/>
    </row>
    <row r="407" spans="7:13">
      <c r="G407" s="5"/>
      <c r="H407" s="5"/>
      <c r="M407" s="6"/>
    </row>
    <row r="408" spans="7:13">
      <c r="G408" s="5"/>
      <c r="H408" s="5"/>
      <c r="M408" s="6"/>
    </row>
    <row r="409" spans="7:13">
      <c r="G409" s="5"/>
      <c r="H409" s="5"/>
      <c r="M409" s="6"/>
    </row>
    <row r="410" spans="7:13">
      <c r="G410" s="5"/>
      <c r="H410" s="5"/>
      <c r="M410" s="6"/>
    </row>
    <row r="411" spans="7:13">
      <c r="G411" s="5"/>
      <c r="H411" s="5"/>
      <c r="M411" s="6"/>
    </row>
    <row r="412" spans="7:13">
      <c r="G412" s="5"/>
      <c r="H412" s="5"/>
      <c r="M412" s="6"/>
    </row>
    <row r="413" spans="7:13">
      <c r="G413" s="5"/>
      <c r="H413" s="5"/>
      <c r="M413" s="6"/>
    </row>
    <row r="414" spans="7:13">
      <c r="G414" s="5"/>
      <c r="H414" s="5"/>
      <c r="M414" s="6"/>
    </row>
    <row r="415" spans="7:13">
      <c r="G415" s="5"/>
      <c r="H415" s="5"/>
      <c r="M415" s="6"/>
    </row>
    <row r="416" spans="7:13">
      <c r="G416" s="5"/>
      <c r="H416" s="5"/>
      <c r="M416" s="6"/>
    </row>
    <row r="417" spans="7:13">
      <c r="G417" s="5"/>
      <c r="H417" s="5"/>
      <c r="M417" s="6"/>
    </row>
    <row r="418" spans="7:13">
      <c r="G418" s="5"/>
      <c r="H418" s="5"/>
      <c r="M418" s="6"/>
    </row>
    <row r="419" spans="7:13">
      <c r="G419" s="5"/>
      <c r="H419" s="5"/>
      <c r="M419" s="6"/>
    </row>
    <row r="420" spans="7:13">
      <c r="G420" s="5"/>
      <c r="H420" s="5"/>
      <c r="M420" s="6"/>
    </row>
    <row r="421" spans="7:13">
      <c r="G421" s="5"/>
      <c r="H421" s="5"/>
      <c r="M421" s="6"/>
    </row>
    <row r="422" spans="7:13">
      <c r="G422" s="5"/>
      <c r="H422" s="5"/>
      <c r="M422" s="6"/>
    </row>
    <row r="423" spans="7:13">
      <c r="G423" s="5"/>
      <c r="H423" s="5"/>
      <c r="M423" s="6"/>
    </row>
    <row r="424" spans="7:13">
      <c r="G424" s="5"/>
      <c r="H424" s="5"/>
      <c r="M424" s="6"/>
    </row>
    <row r="425" spans="7:13">
      <c r="G425" s="5"/>
      <c r="H425" s="5"/>
      <c r="M425" s="6"/>
    </row>
    <row r="426" spans="7:13">
      <c r="G426" s="5"/>
      <c r="H426" s="5"/>
      <c r="M426" s="6"/>
    </row>
    <row r="427" spans="7:13">
      <c r="G427" s="5"/>
      <c r="H427" s="5"/>
      <c r="M427" s="6"/>
    </row>
    <row r="428" spans="7:13">
      <c r="G428" s="5"/>
      <c r="H428" s="5"/>
      <c r="M428" s="6"/>
    </row>
    <row r="429" spans="7:13">
      <c r="G429" s="5"/>
      <c r="H429" s="5"/>
      <c r="M429" s="6"/>
    </row>
    <row r="430" spans="7:13">
      <c r="G430" s="5"/>
      <c r="H430" s="5"/>
      <c r="M430" s="6"/>
    </row>
    <row r="431" spans="7:13">
      <c r="G431" s="5"/>
      <c r="H431" s="5"/>
      <c r="M431" s="6"/>
    </row>
    <row r="432" spans="7:13">
      <c r="G432" s="5"/>
      <c r="H432" s="5"/>
      <c r="M432" s="6"/>
    </row>
    <row r="433" spans="7:13">
      <c r="G433" s="5"/>
      <c r="H433" s="5"/>
      <c r="M433" s="6"/>
    </row>
    <row r="434" spans="7:13">
      <c r="G434" s="5"/>
      <c r="H434" s="5"/>
      <c r="M434" s="6"/>
    </row>
    <row r="435" spans="7:13">
      <c r="G435" s="5"/>
      <c r="H435" s="5"/>
      <c r="M435" s="6"/>
    </row>
    <row r="436" spans="7:13">
      <c r="G436" s="5"/>
      <c r="H436" s="5"/>
      <c r="M436" s="6"/>
    </row>
    <row r="437" spans="7:13">
      <c r="G437" s="5"/>
      <c r="H437" s="5"/>
      <c r="M437" s="6"/>
    </row>
    <row r="438" spans="7:13">
      <c r="G438" s="5"/>
      <c r="H438" s="5"/>
      <c r="M438" s="6"/>
    </row>
    <row r="439" spans="7:13">
      <c r="G439" s="5"/>
      <c r="H439" s="5"/>
      <c r="M439" s="6"/>
    </row>
    <row r="440" spans="7:13">
      <c r="G440" s="5"/>
      <c r="H440" s="5"/>
      <c r="M440" s="6"/>
    </row>
    <row r="441" spans="7:13">
      <c r="G441" s="5"/>
      <c r="H441" s="5"/>
      <c r="M441" s="6"/>
    </row>
    <row r="442" spans="7:13">
      <c r="G442" s="5"/>
      <c r="H442" s="5"/>
      <c r="M442" s="6"/>
    </row>
    <row r="443" spans="7:13">
      <c r="G443" s="5"/>
      <c r="H443" s="5"/>
      <c r="M443" s="6"/>
    </row>
  </sheetData>
  <autoFilter ref="A1:N443" xr:uid="{00000000-0009-0000-0000-000002000000}"/>
  <dataValidations count="5">
    <dataValidation type="list" sqref="K185:K417" xr:uid="{00000000-0002-0000-0200-000001000000}">
      <formula1>"Falta de material,Máquina parada,Manutenção,Problemas de qualidade,Falta de operador,Ajustes de processo,Outros,-"</formula1>
    </dataValidation>
    <dataValidation type="list" sqref="K418:K443 K2:K184" xr:uid="{00000000-0002-0000-0200-000002000000}">
      <formula1>"Falta de material,Máquina parada,Manutenção,Problemas de qualidade,Falta de operador,Ordem apontada, Ordem pendente de apontamento,processo,Outros,-"</formula1>
    </dataValidation>
    <dataValidation type="list" sqref="I53 I64 I2:I51" xr:uid="{00000000-0002-0000-0200-000003000000}">
      <formula1>"Liberada,Ordem apontada em aberto, Ordem apontada fechada,Em Produção,Aguardando Material,Aguardando Qualidade,Ordem Apontada,Falta Apontamento,Parada,Encerrada"</formula1>
    </dataValidation>
    <dataValidation type="list" sqref="I52 I54:I63" xr:uid="{00000000-0002-0000-0200-000004000000}">
      <formula1>"Liberada,Em Produção,Aguardando Material,Aguardando apontamento em aberta,,Aguardando Qualidade,Parada,Encerrada"</formula1>
    </dataValidation>
    <dataValidation type="list" sqref="I65:I443 J2:J417" xr:uid="{00000000-0002-0000-0200-000000000000}">
      <formula1>"Liberada,Em Produção,Aguardando Material,Aguardando Qualidade,Parada,Encerrada"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M102"/>
  <sheetViews>
    <sheetView zoomScale="90" zoomScaleNormal="90" workbookViewId="0">
      <pane ySplit="1" topLeftCell="A2" activePane="bottomLeft" state="frozen"/>
      <selection pane="bottomLeft" activeCell="B21" sqref="B21"/>
    </sheetView>
  </sheetViews>
  <sheetFormatPr defaultRowHeight="14.5"/>
  <cols>
    <col min="1" max="1" width="30" customWidth="1"/>
    <col min="2" max="2" width="18" customWidth="1"/>
    <col min="4" max="4" width="10.81640625" customWidth="1"/>
    <col min="5" max="5" width="15.7265625" bestFit="1" customWidth="1"/>
    <col min="7" max="7" width="10.7265625" customWidth="1"/>
    <col min="9" max="9" width="33.08984375" bestFit="1" customWidth="1"/>
    <col min="11" max="11" width="4.1796875" customWidth="1"/>
    <col min="12" max="12" width="30.6328125" bestFit="1" customWidth="1"/>
  </cols>
  <sheetData>
    <row r="1" spans="1:13">
      <c r="A1" t="s">
        <v>144</v>
      </c>
      <c r="B1" t="s">
        <v>145</v>
      </c>
      <c r="D1" t="s">
        <v>146</v>
      </c>
      <c r="E1" t="s">
        <v>147</v>
      </c>
      <c r="F1" t="s">
        <v>148</v>
      </c>
      <c r="G1" t="s">
        <v>149</v>
      </c>
      <c r="I1" t="s">
        <v>3</v>
      </c>
      <c r="J1" t="s">
        <v>150</v>
      </c>
      <c r="L1" t="s">
        <v>151</v>
      </c>
      <c r="M1" t="s">
        <v>150</v>
      </c>
    </row>
    <row r="2" spans="1:13">
      <c r="A2" t="s">
        <v>152</v>
      </c>
      <c r="B2" cm="1">
        <f t="array" ref="B2">COUNTA(_xlfn.UNIQUE(_xlfn._xlws.FILTER(BASE_OP!$A$2:$A$9916,BASE_OP!$A$2:$A$9916&lt;&gt;"")))</f>
        <v>101</v>
      </c>
      <c r="D2" s="13">
        <v>46205</v>
      </c>
      <c r="E2" cm="1">
        <f t="array" ref="E2">IFERROR(INDEX(_xlfn._xlws.FILTER(BASE_OP!$D$2:$D$9916,BASE_OP!$G$2:$G$9916=D2),COUNTIF($D$2:D2,D2)),"")</f>
        <v>1</v>
      </c>
      <c r="F2" cm="1">
        <f t="array" ref="F2">IFERROR(INDEX(_xlfn._xlws.FILTER(BASE_OP!$F$2:$F$9916,BASE_OP!$G$2:$G$9916=D2),COUNTIF($D$2:D2,D2)),0)</f>
        <v>1</v>
      </c>
      <c r="G2">
        <f>IF(E2="","",MAX(0,E2-F2))</f>
        <v>0</v>
      </c>
      <c r="I2" t="s">
        <v>168</v>
      </c>
      <c r="J2">
        <f>COUNTIF(BASE_OP!$I:$I,I2)</f>
        <v>0</v>
      </c>
      <c r="L2" t="s">
        <v>153</v>
      </c>
      <c r="M2">
        <f>COUNTIF(BASE_OP!$K:$K,L2)</f>
        <v>0</v>
      </c>
    </row>
    <row r="3" spans="1:13">
      <c r="A3" t="s">
        <v>154</v>
      </c>
      <c r="B3" cm="1">
        <f t="array" ref="B3">IFERROR(SUMPRODUCT(BASE_OP!$F$2:$F$9916,--(BASE_OP!$A$2:$A$9916&lt;&gt;""),--((DASHBOARD!$H$3="Todos")+(BASE_OP!$C$2:$C$9916=DASHBOARD!$H$3)&gt;0),--((DASHBOARD!$K$3="Todos")+(BASE_OP!$I$2:$I$9916=DASHBOARD!$K$3)&gt;0)),0)</f>
        <v>1</v>
      </c>
      <c r="D3" s="13">
        <v>46205</v>
      </c>
      <c r="E3" cm="1">
        <f t="array" ref="E3">IFERROR(INDEX(_xlfn._xlws.FILTER(BASE_OP!$D$2:$D$9916,BASE_OP!$G$2:$G$9916=D3),COUNTIF($D$2:D3,D3)),"")</f>
        <v>1</v>
      </c>
      <c r="F3" cm="1">
        <f t="array" ref="F3">IFERROR(INDEX(_xlfn._xlws.FILTER(BASE_OP!$F$2:$F$9916,BASE_OP!$G$2:$G$9916=D3),COUNTIF($D$2:D3,D3)),0)</f>
        <v>1</v>
      </c>
      <c r="G3">
        <f t="shared" ref="G3:G66" si="0">IF(E3="","",MAX(0,E3-F3))</f>
        <v>0</v>
      </c>
      <c r="I3" t="s">
        <v>22</v>
      </c>
      <c r="J3">
        <f>COUNTIF(BASE_OP!$I:$I,I3)</f>
        <v>5</v>
      </c>
      <c r="L3" t="s">
        <v>155</v>
      </c>
      <c r="M3">
        <f>COUNTIF(BASE_OP!$K:$K,L3)</f>
        <v>0</v>
      </c>
    </row>
    <row r="4" spans="1:13">
      <c r="A4" t="s">
        <v>156</v>
      </c>
      <c r="B4" s="18" cm="1">
        <f t="array" ref="B4">IFERROR(MIN(Realizado/Planejado,1),0)</f>
        <v>0</v>
      </c>
      <c r="D4" s="13">
        <v>46205</v>
      </c>
      <c r="E4" cm="1">
        <f t="array" ref="E4">IFERROR(INDEX(_xlfn._xlws.FILTER(BASE_OP!$D$2:$D$9916,BASE_OP!$G$2:$G$9916=D4),COUNTIF($D$2:D4,D4)),"")</f>
        <v>1</v>
      </c>
      <c r="F4" cm="1">
        <f t="array" ref="F4">IFERROR(INDEX(_xlfn._xlws.FILTER(BASE_OP!$F$2:$F$9916,BASE_OP!$G$2:$G$9916=D4),COUNTIF($D$2:D4,D4)),0)</f>
        <v>1</v>
      </c>
      <c r="G4">
        <f t="shared" si="0"/>
        <v>0</v>
      </c>
      <c r="I4" t="s">
        <v>169</v>
      </c>
      <c r="J4">
        <f>COUNTIF(BASE_OP!$I:$I,I4)</f>
        <v>0</v>
      </c>
      <c r="L4" t="s">
        <v>38</v>
      </c>
      <c r="M4">
        <f>COUNTIF(BASE_OP!$K:$K,L4)</f>
        <v>0</v>
      </c>
    </row>
    <row r="5" spans="1:13">
      <c r="A5" t="s">
        <v>149</v>
      </c>
      <c r="B5">
        <f>IF(DASHBOARD!H3="Todos",SUM(BASE_OP!D2:D9916)-SUM(BASE_OP!F2:F9916),SUMIF(BASE_OP!C2:C9916,DASHBOARD!H3,BASE_OP!D2:D9916)-SUMIF(BASE_OP!C2:C9916,DASHBOARD!H3,BASE_OP!F2:F9916))</f>
        <v>0</v>
      </c>
      <c r="D5" s="13">
        <v>46234</v>
      </c>
      <c r="E5" cm="1">
        <f t="array" ref="E5">IFERROR(INDEX(_xlfn._xlws.FILTER(BASE_OP!$D$2:$D$9916,BASE_OP!$G$2:$G$9916=D5),COUNTIF($D$2:D5,D5)),"")</f>
        <v>1</v>
      </c>
      <c r="F5" cm="1">
        <f t="array" ref="F5">IFERROR(INDEX(_xlfn._xlws.FILTER(BASE_OP!$F$2:$F$9916,BASE_OP!$G$2:$G$9916=D5),COUNTIF($D$2:D5,D5)),0)</f>
        <v>1</v>
      </c>
      <c r="G5">
        <f t="shared" si="0"/>
        <v>0</v>
      </c>
      <c r="I5" t="s">
        <v>170</v>
      </c>
      <c r="J5">
        <f>COUNTIF(BASE_OP!$I:$I,I5)</f>
        <v>0</v>
      </c>
      <c r="L5" t="s">
        <v>45</v>
      </c>
      <c r="M5">
        <f>COUNTIF(BASE_OP!$K:$K,L5)</f>
        <v>1</v>
      </c>
    </row>
    <row r="6" spans="1:13">
      <c r="A6" t="s">
        <v>157</v>
      </c>
      <c r="B6" cm="1">
        <f t="array" ref="B6">COUNTA(_xlfn.UNIQUE(_xlfn._xlws.FILTER(BASE_OP!$A$2:$A$9916,(BASE_OP!$I$2:$I$9916&lt;&gt;"Encerrada")*(BASE_OP!$A$2:$A$9916&lt;&gt;""))))</f>
        <v>101</v>
      </c>
      <c r="D6" s="13">
        <v>46234</v>
      </c>
      <c r="E6" cm="1">
        <f t="array" ref="E6">IFERROR(INDEX(_xlfn._xlws.FILTER(BASE_OP!$D$2:$D$9916,BASE_OP!$G$2:$G$9916=D6),COUNTIF($D$2:D6,D6)),"")</f>
        <v>1</v>
      </c>
      <c r="F6" cm="1">
        <f t="array" ref="F6">IFERROR(INDEX(_xlfn._xlws.FILTER(BASE_OP!$F$2:$F$9916,BASE_OP!$G$2:$G$9916=D6),COUNTIF($D$2:D6,D6)),0)</f>
        <v>1</v>
      </c>
      <c r="G6">
        <f t="shared" si="0"/>
        <v>0</v>
      </c>
      <c r="I6" t="s">
        <v>24</v>
      </c>
      <c r="J6">
        <f>COUNTIF(BASE_OP!$I:$I,I6)</f>
        <v>31</v>
      </c>
      <c r="L6" t="s">
        <v>158</v>
      </c>
      <c r="M6">
        <f>COUNTIF(BASE_OP!$K:$K,L6)</f>
        <v>0</v>
      </c>
    </row>
    <row r="7" spans="1:13">
      <c r="A7" t="s">
        <v>159</v>
      </c>
      <c r="B7" s="11" cm="1">
        <f t="array" ref="B7">COUNTA(_xlfn.UNIQUE(_xlfn._xlws.FILTER(BASE_OP!$A$2:$A$9916,(BASE_OP!$I$2:$I$9916="Encerrada")*(BASE_OP!$A$2:$A$9916&lt;&gt;""))))</f>
        <v>1</v>
      </c>
      <c r="D7" s="13">
        <v>46234</v>
      </c>
      <c r="E7" cm="1">
        <f t="array" ref="E7">IFERROR(INDEX(_xlfn._xlws.FILTER(BASE_OP!$D$2:$D$9916,BASE_OP!$G$2:$G$9916=D7),COUNTIF($D$2:D7,D7)),"")</f>
        <v>1</v>
      </c>
      <c r="F7" cm="1">
        <f t="array" ref="F7">IFERROR(INDEX(_xlfn._xlws.FILTER(BASE_OP!$F$2:$F$9916,BASE_OP!$G$2:$G$9916=D7),COUNTIF($D$2:D7,D7)),0)</f>
        <v>1</v>
      </c>
      <c r="G7">
        <f t="shared" si="0"/>
        <v>0</v>
      </c>
      <c r="I7" t="s">
        <v>171</v>
      </c>
      <c r="J7">
        <f>COUNTIF(BASE_OP!$I:$I,I7)</f>
        <v>0</v>
      </c>
      <c r="L7" t="s">
        <v>160</v>
      </c>
      <c r="M7">
        <f>COUNTIF(BASE_OP!$K:$K,L7)</f>
        <v>0</v>
      </c>
    </row>
    <row r="8" spans="1:13">
      <c r="A8" t="s">
        <v>161</v>
      </c>
      <c r="B8" s="12">
        <f>COUNTIF(BASE_OP!L:L,"&gt;0")</f>
        <v>1</v>
      </c>
      <c r="D8" s="13">
        <v>46234</v>
      </c>
      <c r="E8" cm="1">
        <f t="array" ref="E8">IFERROR(INDEX(_xlfn._xlws.FILTER(BASE_OP!$D$2:$D$9916,BASE_OP!$G$2:$G$9916=D8),COUNTIF($D$2:D8,D8)),"")</f>
        <v>1</v>
      </c>
      <c r="F8" cm="1">
        <f t="array" ref="F8">IFERROR(INDEX(_xlfn._xlws.FILTER(BASE_OP!$F$2:$F$9916,BASE_OP!$G$2:$G$9916=D8),COUNTIF($D$2:D8,D8)),0)</f>
        <v>1</v>
      </c>
      <c r="G8">
        <f t="shared" si="0"/>
        <v>0</v>
      </c>
      <c r="I8" t="s">
        <v>17</v>
      </c>
      <c r="J8">
        <f>COUNTIF(BASE_OP!$I:$I,I8)</f>
        <v>54</v>
      </c>
      <c r="L8" t="s">
        <v>162</v>
      </c>
      <c r="M8">
        <f>COUNTIF(BASE_OP!$K:$K,L8)</f>
        <v>0</v>
      </c>
    </row>
    <row r="9" spans="1:13">
      <c r="A9" t="s">
        <v>163</v>
      </c>
      <c r="B9" s="15" cm="1">
        <f t="array" ref="B9">IFERROR(COUNTA(_xlfn.UNIQUE(_xlfn._xlws.FILTER(BASE_OP!$A$2:$A$9916,(BASE_OP!$H$2:$H$9916&lt;&gt;"")*(BASE_OP!$H$2:$H$9916&lt;=BASE_OP!$G$2:$G$9916)*(BASE_OP!$A$2:$A$9916&lt;&gt;"")*IF(DASHBOARD!$H$3="Todos",1,BASE_OP!$C$2:$C$9916=DASHBOARD!$H$3))))/COUNTA(_xlfn.UNIQUE(_xlfn._xlws.FILTER(BASE_OP!$A$2:$A$9916,(BASE_OP!$A$2:$A$9916&lt;&gt;"")*IF(DASHBOARD!$H$3="Todos",1,BASE_OP!$C$2:$C$9916=DASHBOARD!$H$3)))),0)</f>
        <v>1</v>
      </c>
      <c r="D9" s="13">
        <v>46234</v>
      </c>
      <c r="E9" cm="1">
        <f t="array" ref="E9">IFERROR(INDEX(_xlfn._xlws.FILTER(BASE_OP!$D$2:$D$9916,BASE_OP!$G$2:$G$9916=D9),COUNTIF($D$2:D9,D9)),"")</f>
        <v>1</v>
      </c>
      <c r="F9" cm="1">
        <f t="array" ref="F9">IFERROR(INDEX(_xlfn._xlws.FILTER(BASE_OP!$F$2:$F$9916,BASE_OP!$G$2:$G$9916=D9),COUNTIF($D$2:D9,D9)),0)</f>
        <v>1</v>
      </c>
      <c r="G9">
        <f t="shared" si="0"/>
        <v>0</v>
      </c>
      <c r="I9" t="s">
        <v>19</v>
      </c>
      <c r="J9">
        <f>COUNTIF(BASE_OP!$I:$I,I9)</f>
        <v>11</v>
      </c>
      <c r="L9" t="s">
        <v>47</v>
      </c>
      <c r="M9">
        <f>COUNTIF(BASE_OP!$K:$K,L9)</f>
        <v>1</v>
      </c>
    </row>
    <row r="10" spans="1:13">
      <c r="A10" t="s">
        <v>164</v>
      </c>
      <c r="B10" s="15" cm="1">
        <f t="array" ref="B10">IFERROR(COUNTA(_xlfn.UNIQUE(_xlfn._xlws.FILTER(BASE_OP!$A$2:$A$9916,(BASE_OP!$F$2:$F$9916&gt;0)*IF(DASHBOARD!$H$3="Todos",1,BASE_OP!$C$2:$C$9916=DASHBOARD!$H$3))))/COUNTA(_xlfn.UNIQUE(_xlfn._xlws.FILTER(BASE_OP!$A$2:$A$9916,(BASE_OP!$A$2:$A$9916&lt;&gt;"")*IF(DASHBOARD!$H$3="Todos",1,BASE_OP!$C$2:$C$9916=DASHBOARD!$H$3)))),0)</f>
        <v>1</v>
      </c>
      <c r="D10" s="13">
        <v>46234</v>
      </c>
      <c r="E10" cm="1">
        <f t="array" ref="E10">IFERROR(INDEX(_xlfn._xlws.FILTER(BASE_OP!$D$2:$D$9916,BASE_OP!$G$2:$G$9916=D10),COUNTIF($D$2:D10,D10)),"")</f>
        <v>1</v>
      </c>
      <c r="F10" cm="1">
        <f t="array" ref="F10">IFERROR(INDEX(_xlfn._xlws.FILTER(BASE_OP!$F$2:$F$9916,BASE_OP!$G$2:$G$9916=D10),COUNTIF($D$2:D10,D10)),0)</f>
        <v>1</v>
      </c>
      <c r="G10">
        <f t="shared" si="0"/>
        <v>0</v>
      </c>
      <c r="I10" t="s">
        <v>22</v>
      </c>
      <c r="J10">
        <f>COUNTIF(BASE_OP!$I:$I,I10)</f>
        <v>5</v>
      </c>
    </row>
    <row r="11" spans="1:13">
      <c r="A11" t="s">
        <v>165</v>
      </c>
      <c r="B11" cm="1">
        <f t="array" ref="B11">IFERROR(COUNTA(_xlfn.UNIQUE(_xlfn._xlws.FILTER(BASE_OP!$A$2:$A$9916,(BASE_OP!$I$2:$I$9916="Liberada")*(BASE_OP!$A$2:$A$9916&lt;&gt;"")))),0)</f>
        <v>1</v>
      </c>
      <c r="D11" s="13">
        <v>46234</v>
      </c>
      <c r="E11" cm="1">
        <f t="array" ref="E11">IFERROR(INDEX(_xlfn._xlws.FILTER(BASE_OP!$D$2:$D$9916,BASE_OP!$G$2:$G$9916=D11),COUNTIF($D$2:D11,D11)),"")</f>
        <v>1</v>
      </c>
      <c r="F11" cm="1">
        <f t="array" ref="F11">IFERROR(INDEX(_xlfn._xlws.FILTER(BASE_OP!$F$2:$F$9916,BASE_OP!$G$2:$G$9916=D11),COUNTIF($D$2:D11,D11)),0)</f>
        <v>1</v>
      </c>
      <c r="G11">
        <f t="shared" si="0"/>
        <v>0</v>
      </c>
    </row>
    <row r="12" spans="1:13">
      <c r="A12" t="s">
        <v>166</v>
      </c>
      <c r="B12" cm="1">
        <f t="array" ref="B12">IFERROR(COUNTA(_xlfn.UNIQUE(_xlfn._xlws.FILTER(BASE_OP!$A$2:$A$9916,(BASE_OP!$I$2:$I$9916="Em Produção")*(BASE_OP!$A$2:$A$9916&lt;&gt;"")))),0)</f>
        <v>5</v>
      </c>
      <c r="D12" s="13">
        <v>46234</v>
      </c>
      <c r="E12" cm="1">
        <f t="array" ref="E12">IFERROR(INDEX(_xlfn._xlws.FILTER(BASE_OP!$D$2:$D$9916,BASE_OP!$G$2:$G$9916=D12),COUNTIF($D$2:D12,D12)),"")</f>
        <v>1</v>
      </c>
      <c r="F12" cm="1">
        <f t="array" ref="F12">IFERROR(INDEX(_xlfn._xlws.FILTER(BASE_OP!$F$2:$F$9916,BASE_OP!$G$2:$G$9916=D12),COUNTIF($D$2:D12,D12)),0)</f>
        <v>1</v>
      </c>
      <c r="G12">
        <f t="shared" si="0"/>
        <v>0</v>
      </c>
    </row>
    <row r="13" spans="1:13">
      <c r="A13" t="s">
        <v>167</v>
      </c>
      <c r="B13" cm="1">
        <f t="array" ref="B13">IFERROR(COUNTA(_xlfn.UNIQUE(_xlfn._xlws.FILTER(BASE_OP!$A$2:$A$9916,(BASE_OP!$I$2:$I$9916="Aguardando Material")*(BASE_OP!$A$2:$A$9916&lt;&gt;"")))),0)</f>
        <v>1</v>
      </c>
      <c r="D13" s="13">
        <v>46237</v>
      </c>
      <c r="E13" cm="1">
        <f t="array" ref="E13">IFERROR(INDEX(_xlfn._xlws.FILTER(BASE_OP!$D$2:$D$9916,BASE_OP!$G$2:$G$9916=D13),COUNTIF($D$2:D13,D13)),"")</f>
        <v>220</v>
      </c>
      <c r="F13" cm="1">
        <f t="array" ref="F13">IFERROR(INDEX(_xlfn._xlws.FILTER(BASE_OP!$F$2:$F$9916,BASE_OP!$G$2:$G$9916=D13),COUNTIF($D$2:D13,D13)),0)</f>
        <v>220</v>
      </c>
      <c r="G13">
        <f t="shared" si="0"/>
        <v>0</v>
      </c>
    </row>
    <row r="14" spans="1:13">
      <c r="D14" s="13">
        <v>46237</v>
      </c>
      <c r="E14" cm="1">
        <f t="array" ref="E14">IFERROR(INDEX(_xlfn._xlws.FILTER(BASE_OP!$D$2:$D$9916,BASE_OP!$G$2:$G$9916=D14),COUNTIF($D$2:D14,D14)),"")</f>
        <v>1</v>
      </c>
      <c r="F14" cm="1">
        <f t="array" ref="F14">IFERROR(INDEX(_xlfn._xlws.FILTER(BASE_OP!$F$2:$F$9916,BASE_OP!$G$2:$G$9916=D14),COUNTIF($D$2:D14,D14)),0)</f>
        <v>1</v>
      </c>
      <c r="G14">
        <f t="shared" si="0"/>
        <v>0</v>
      </c>
    </row>
    <row r="15" spans="1:13">
      <c r="D15" s="13">
        <v>46237</v>
      </c>
      <c r="E15" cm="1">
        <f t="array" ref="E15">IFERROR(INDEX(_xlfn._xlws.FILTER(BASE_OP!$D$2:$D$9916,BASE_OP!$G$2:$G$9916=D15),COUNTIF($D$2:D15,D15)),"")</f>
        <v>1</v>
      </c>
      <c r="F15" cm="1">
        <f t="array" ref="F15">IFERROR(INDEX(_xlfn._xlws.FILTER(BASE_OP!$F$2:$F$9916,BASE_OP!$G$2:$G$9916=D15),COUNTIF($D$2:D15,D15)),0)</f>
        <v>1</v>
      </c>
      <c r="G15">
        <f t="shared" si="0"/>
        <v>0</v>
      </c>
    </row>
    <row r="16" spans="1:13">
      <c r="D16" s="13">
        <v>46237</v>
      </c>
      <c r="E16" cm="1">
        <f t="array" ref="E16">IFERROR(INDEX(_xlfn._xlws.FILTER(BASE_OP!$D$2:$D$9916,BASE_OP!$G$2:$G$9916=D16),COUNTIF($D$2:D16,D16)),"")</f>
        <v>1</v>
      </c>
      <c r="F16" cm="1">
        <f t="array" ref="F16">IFERROR(INDEX(_xlfn._xlws.FILTER(BASE_OP!$F$2:$F$9916,BASE_OP!$G$2:$G$9916=D16),COUNTIF($D$2:D16,D16)),0)</f>
        <v>1</v>
      </c>
      <c r="G16">
        <f t="shared" si="0"/>
        <v>0</v>
      </c>
    </row>
    <row r="17" spans="4:7">
      <c r="D17" s="13">
        <v>46237</v>
      </c>
      <c r="E17" cm="1">
        <f t="array" ref="E17">IFERROR(INDEX(_xlfn._xlws.FILTER(BASE_OP!$D$2:$D$9916,BASE_OP!$G$2:$G$9916=D17),COUNTIF($D$2:D17,D17)),"")</f>
        <v>1</v>
      </c>
      <c r="F17" cm="1">
        <f t="array" ref="F17">IFERROR(INDEX(_xlfn._xlws.FILTER(BASE_OP!$F$2:$F$9916,BASE_OP!$G$2:$G$9916=D17),COUNTIF($D$2:D17,D17)),0)</f>
        <v>1</v>
      </c>
      <c r="G17">
        <f t="shared" si="0"/>
        <v>0</v>
      </c>
    </row>
    <row r="18" spans="4:7">
      <c r="D18" s="13">
        <v>46237</v>
      </c>
      <c r="E18" cm="1">
        <f t="array" ref="E18">IFERROR(INDEX(_xlfn._xlws.FILTER(BASE_OP!$D$2:$D$9916,BASE_OP!$G$2:$G$9916=D18),COUNTIF($D$2:D18,D18)),"")</f>
        <v>1</v>
      </c>
      <c r="F18" cm="1">
        <f t="array" ref="F18">IFERROR(INDEX(_xlfn._xlws.FILTER(BASE_OP!$F$2:$F$9916,BASE_OP!$G$2:$G$9916=D18),COUNTIF($D$2:D18,D18)),0)</f>
        <v>1</v>
      </c>
      <c r="G18">
        <f t="shared" si="0"/>
        <v>0</v>
      </c>
    </row>
    <row r="19" spans="4:7">
      <c r="D19" s="13">
        <v>46237</v>
      </c>
      <c r="E19" cm="1">
        <f t="array" ref="E19">IFERROR(INDEX(_xlfn._xlws.FILTER(BASE_OP!$D$2:$D$9916,BASE_OP!$G$2:$G$9916=D19),COUNTIF($D$2:D19,D19)),"")</f>
        <v>1</v>
      </c>
      <c r="F19" cm="1">
        <f t="array" ref="F19">IFERROR(INDEX(_xlfn._xlws.FILTER(BASE_OP!$F$2:$F$9916,BASE_OP!$G$2:$G$9916=D19),COUNTIF($D$2:D19,D19)),0)</f>
        <v>1</v>
      </c>
      <c r="G19">
        <f t="shared" si="0"/>
        <v>0</v>
      </c>
    </row>
    <row r="20" spans="4:7">
      <c r="D20" s="13">
        <v>46237</v>
      </c>
      <c r="E20" cm="1">
        <f t="array" ref="E20">IFERROR(INDEX(_xlfn._xlws.FILTER(BASE_OP!$D$2:$D$9916,BASE_OP!$G$2:$G$9916=D20),COUNTIF($D$2:D20,D20)),"")</f>
        <v>1</v>
      </c>
      <c r="F20" cm="1">
        <f t="array" ref="F20">IFERROR(INDEX(_xlfn._xlws.FILTER(BASE_OP!$F$2:$F$9916,BASE_OP!$G$2:$G$9916=D20),COUNTIF($D$2:D20,D20)),0)</f>
        <v>1</v>
      </c>
      <c r="G20">
        <f t="shared" si="0"/>
        <v>0</v>
      </c>
    </row>
    <row r="21" spans="4:7">
      <c r="D21" s="13">
        <v>46238</v>
      </c>
      <c r="E21" cm="1">
        <f t="array" ref="E21">IFERROR(INDEX(_xlfn._xlws.FILTER(BASE_OP!$D$2:$D$9916,BASE_OP!$G$2:$G$9916=D21),COUNTIF($D$2:D21,D21)),"")</f>
        <v>1</v>
      </c>
      <c r="F21" cm="1">
        <f t="array" ref="F21">IFERROR(INDEX(_xlfn._xlws.FILTER(BASE_OP!$F$2:$F$9916,BASE_OP!$G$2:$G$9916=D21),COUNTIF($D$2:D21,D21)),0)</f>
        <v>1</v>
      </c>
      <c r="G21">
        <f t="shared" si="0"/>
        <v>0</v>
      </c>
    </row>
    <row r="22" spans="4:7">
      <c r="D22" s="13">
        <v>46238</v>
      </c>
      <c r="E22" cm="1">
        <f t="array" ref="E22">IFERROR(INDEX(_xlfn._xlws.FILTER(BASE_OP!$D$2:$D$9916,BASE_OP!$G$2:$G$9916=D22),COUNTIF($D$2:D22,D22)),"")</f>
        <v>1</v>
      </c>
      <c r="F22" cm="1">
        <f t="array" ref="F22">IFERROR(INDEX(_xlfn._xlws.FILTER(BASE_OP!$F$2:$F$9916,BASE_OP!$G$2:$G$9916=D22),COUNTIF($D$2:D22,D22)),0)</f>
        <v>1</v>
      </c>
      <c r="G22">
        <f t="shared" si="0"/>
        <v>0</v>
      </c>
    </row>
    <row r="23" spans="4:7">
      <c r="D23" s="13">
        <v>46238</v>
      </c>
      <c r="E23" cm="1">
        <f t="array" ref="E23">IFERROR(INDEX(_xlfn._xlws.FILTER(BASE_OP!$D$2:$D$9916,BASE_OP!$G$2:$G$9916=D23),COUNTIF($D$2:D23,D23)),"")</f>
        <v>1</v>
      </c>
      <c r="F23" cm="1">
        <f t="array" ref="F23">IFERROR(INDEX(_xlfn._xlws.FILTER(BASE_OP!$F$2:$F$9916,BASE_OP!$G$2:$G$9916=D23),COUNTIF($D$2:D23,D23)),0)</f>
        <v>1</v>
      </c>
      <c r="G23">
        <f t="shared" si="0"/>
        <v>0</v>
      </c>
    </row>
    <row r="24" spans="4:7">
      <c r="D24" s="13">
        <v>46238</v>
      </c>
      <c r="E24" cm="1">
        <f t="array" ref="E24">IFERROR(INDEX(_xlfn._xlws.FILTER(BASE_OP!$D$2:$D$9916,BASE_OP!$G$2:$G$9916=D24),COUNTIF($D$2:D24,D24)),"")</f>
        <v>1</v>
      </c>
      <c r="F24" cm="1">
        <f t="array" ref="F24">IFERROR(INDEX(_xlfn._xlws.FILTER(BASE_OP!$F$2:$F$9916,BASE_OP!$G$2:$G$9916=D24),COUNTIF($D$2:D24,D24)),0)</f>
        <v>1</v>
      </c>
      <c r="G24">
        <f t="shared" si="0"/>
        <v>0</v>
      </c>
    </row>
    <row r="25" spans="4:7">
      <c r="D25" s="13">
        <v>46238</v>
      </c>
      <c r="E25" cm="1">
        <f t="array" ref="E25">IFERROR(INDEX(_xlfn._xlws.FILTER(BASE_OP!$D$2:$D$9916,BASE_OP!$G$2:$G$9916=D25),COUNTIF($D$2:D25,D25)),"")</f>
        <v>1</v>
      </c>
      <c r="F25" cm="1">
        <f t="array" ref="F25">IFERROR(INDEX(_xlfn._xlws.FILTER(BASE_OP!$F$2:$F$9916,BASE_OP!$G$2:$G$9916=D25),COUNTIF($D$2:D25,D25)),0)</f>
        <v>1</v>
      </c>
      <c r="G25">
        <f t="shared" si="0"/>
        <v>0</v>
      </c>
    </row>
    <row r="26" spans="4:7">
      <c r="D26" s="13">
        <v>46238</v>
      </c>
      <c r="E26" cm="1">
        <f t="array" ref="E26">IFERROR(INDEX(_xlfn._xlws.FILTER(BASE_OP!$D$2:$D$9916,BASE_OP!$G$2:$G$9916=D26),COUNTIF($D$2:D26,D26)),"")</f>
        <v>1</v>
      </c>
      <c r="F26" cm="1">
        <f t="array" ref="F26">IFERROR(INDEX(_xlfn._xlws.FILTER(BASE_OP!$F$2:$F$9916,BASE_OP!$G$2:$G$9916=D26),COUNTIF($D$2:D26,D26)),0)</f>
        <v>1</v>
      </c>
      <c r="G26">
        <f t="shared" si="0"/>
        <v>0</v>
      </c>
    </row>
    <row r="27" spans="4:7">
      <c r="D27" s="13">
        <v>46239</v>
      </c>
      <c r="E27" cm="1">
        <f t="array" ref="E27">IFERROR(INDEX(_xlfn._xlws.FILTER(BASE_OP!$D$2:$D$9916,BASE_OP!$G$2:$G$9916=D27),COUNTIF($D$2:D27,D27)),"")</f>
        <v>1</v>
      </c>
      <c r="F27" cm="1">
        <f t="array" ref="F27">IFERROR(INDEX(_xlfn._xlws.FILTER(BASE_OP!$F$2:$F$9916,BASE_OP!$G$2:$G$9916=D27),COUNTIF($D$2:D27,D27)),0)</f>
        <v>1</v>
      </c>
      <c r="G27">
        <f t="shared" si="0"/>
        <v>0</v>
      </c>
    </row>
    <row r="28" spans="4:7">
      <c r="D28" s="13">
        <v>46239</v>
      </c>
      <c r="E28" cm="1">
        <f t="array" ref="E28">IFERROR(INDEX(_xlfn._xlws.FILTER(BASE_OP!$D$2:$D$9916,BASE_OP!$G$2:$G$9916=D28),COUNTIF($D$2:D28,D28)),"")</f>
        <v>1</v>
      </c>
      <c r="F28" cm="1">
        <f t="array" ref="F28">IFERROR(INDEX(_xlfn._xlws.FILTER(BASE_OP!$F$2:$F$9916,BASE_OP!$G$2:$G$9916=D28),COUNTIF($D$2:D28,D28)),0)</f>
        <v>1</v>
      </c>
      <c r="G28">
        <f t="shared" si="0"/>
        <v>0</v>
      </c>
    </row>
    <row r="29" spans="4:7">
      <c r="D29" s="13">
        <v>46239</v>
      </c>
      <c r="E29" cm="1">
        <f t="array" ref="E29">IFERROR(INDEX(_xlfn._xlws.FILTER(BASE_OP!$D$2:$D$9916,BASE_OP!$G$2:$G$9916=D29),COUNTIF($D$2:D29,D29)),"")</f>
        <v>1</v>
      </c>
      <c r="F29" cm="1">
        <f t="array" ref="F29">IFERROR(INDEX(_xlfn._xlws.FILTER(BASE_OP!$F$2:$F$9916,BASE_OP!$G$2:$G$9916=D29),COUNTIF($D$2:D29,D29)),0)</f>
        <v>1</v>
      </c>
      <c r="G29">
        <f t="shared" si="0"/>
        <v>0</v>
      </c>
    </row>
    <row r="30" spans="4:7">
      <c r="D30" s="13">
        <v>46239</v>
      </c>
      <c r="E30" cm="1">
        <f t="array" ref="E30">IFERROR(INDEX(_xlfn._xlws.FILTER(BASE_OP!$D$2:$D$9916,BASE_OP!$G$2:$G$9916=D30),COUNTIF($D$2:D30,D30)),"")</f>
        <v>1</v>
      </c>
      <c r="F30" cm="1">
        <f t="array" ref="F30">IFERROR(INDEX(_xlfn._xlws.FILTER(BASE_OP!$F$2:$F$9916,BASE_OP!$G$2:$G$9916=D30),COUNTIF($D$2:D30,D30)),0)</f>
        <v>1</v>
      </c>
      <c r="G30">
        <f t="shared" si="0"/>
        <v>0</v>
      </c>
    </row>
    <row r="31" spans="4:7">
      <c r="D31" s="13">
        <v>46239</v>
      </c>
      <c r="E31" cm="1">
        <f t="array" ref="E31">IFERROR(INDEX(_xlfn._xlws.FILTER(BASE_OP!$D$2:$D$9916,BASE_OP!$G$2:$G$9916=D31),COUNTIF($D$2:D31,D31)),"")</f>
        <v>1</v>
      </c>
      <c r="F31" cm="1">
        <f t="array" ref="F31">IFERROR(INDEX(_xlfn._xlws.FILTER(BASE_OP!$F$2:$F$9916,BASE_OP!$G$2:$G$9916=D31),COUNTIF($D$2:D31,D31)),0)</f>
        <v>1</v>
      </c>
      <c r="G31">
        <f t="shared" si="0"/>
        <v>0</v>
      </c>
    </row>
    <row r="32" spans="4:7">
      <c r="D32" s="13">
        <v>46239</v>
      </c>
      <c r="E32" cm="1">
        <f t="array" ref="E32">IFERROR(INDEX(_xlfn._xlws.FILTER(BASE_OP!$D$2:$D$9916,BASE_OP!$G$2:$G$9916=D32),COUNTIF($D$2:D32,D32)),"")</f>
        <v>1</v>
      </c>
      <c r="F32" cm="1">
        <f t="array" ref="F32">IFERROR(INDEX(_xlfn._xlws.FILTER(BASE_OP!$F$2:$F$9916,BASE_OP!$G$2:$G$9916=D32),COUNTIF($D$2:D32,D32)),0)</f>
        <v>1</v>
      </c>
      <c r="G32">
        <f t="shared" si="0"/>
        <v>0</v>
      </c>
    </row>
    <row r="33" spans="4:7">
      <c r="D33" s="13">
        <v>46239</v>
      </c>
      <c r="E33" cm="1">
        <f t="array" ref="E33">IFERROR(INDEX(_xlfn._xlws.FILTER(BASE_OP!$D$2:$D$9916,BASE_OP!$G$2:$G$9916=D33),COUNTIF($D$2:D33,D33)),"")</f>
        <v>1</v>
      </c>
      <c r="F33" cm="1">
        <f t="array" ref="F33">IFERROR(INDEX(_xlfn._xlws.FILTER(BASE_OP!$F$2:$F$9916,BASE_OP!$G$2:$G$9916=D33),COUNTIF($D$2:D33,D33)),0)</f>
        <v>1</v>
      </c>
      <c r="G33">
        <f t="shared" si="0"/>
        <v>0</v>
      </c>
    </row>
    <row r="34" spans="4:7">
      <c r="D34" s="13">
        <v>46240</v>
      </c>
      <c r="E34" cm="1">
        <f t="array" ref="E34">IFERROR(INDEX(_xlfn._xlws.FILTER(BASE_OP!$D$2:$D$9916,BASE_OP!$G$2:$G$9916=D34),COUNTIF($D$2:D34,D34)),"")</f>
        <v>1</v>
      </c>
      <c r="F34" cm="1">
        <f t="array" ref="F34">IFERROR(INDEX(_xlfn._xlws.FILTER(BASE_OP!$F$2:$F$9916,BASE_OP!$G$2:$G$9916=D34),COUNTIF($D$2:D34,D34)),0)</f>
        <v>1</v>
      </c>
      <c r="G34">
        <f t="shared" si="0"/>
        <v>0</v>
      </c>
    </row>
    <row r="35" spans="4:7">
      <c r="D35" s="13">
        <v>46240</v>
      </c>
      <c r="E35" cm="1">
        <f t="array" ref="E35">IFERROR(INDEX(_xlfn._xlws.FILTER(BASE_OP!$D$2:$D$9916,BASE_OP!$G$2:$G$9916=D35),COUNTIF($D$2:D35,D35)),"")</f>
        <v>1</v>
      </c>
      <c r="F35" cm="1">
        <f t="array" ref="F35">IFERROR(INDEX(_xlfn._xlws.FILTER(BASE_OP!$F$2:$F$9916,BASE_OP!$G$2:$G$9916=D35),COUNTIF($D$2:D35,D35)),0)</f>
        <v>1</v>
      </c>
      <c r="G35">
        <f t="shared" si="0"/>
        <v>0</v>
      </c>
    </row>
    <row r="36" spans="4:7">
      <c r="D36" s="13">
        <v>46240</v>
      </c>
      <c r="E36" cm="1">
        <f t="array" ref="E36">IFERROR(INDEX(_xlfn._xlws.FILTER(BASE_OP!$D$2:$D$9916,BASE_OP!$G$2:$G$9916=D36),COUNTIF($D$2:D36,D36)),"")</f>
        <v>1</v>
      </c>
      <c r="F36" cm="1">
        <f t="array" ref="F36">IFERROR(INDEX(_xlfn._xlws.FILTER(BASE_OP!$F$2:$F$9916,BASE_OP!$G$2:$G$9916=D36),COUNTIF($D$2:D36,D36)),0)</f>
        <v>1</v>
      </c>
      <c r="G36">
        <f t="shared" si="0"/>
        <v>0</v>
      </c>
    </row>
    <row r="37" spans="4:7">
      <c r="D37" s="13">
        <v>46240</v>
      </c>
      <c r="E37" cm="1">
        <f t="array" ref="E37">IFERROR(INDEX(_xlfn._xlws.FILTER(BASE_OP!$D$2:$D$9916,BASE_OP!$G$2:$G$9916=D37),COUNTIF($D$2:D37,D37)),"")</f>
        <v>1</v>
      </c>
      <c r="F37" cm="1">
        <f t="array" ref="F37">IFERROR(INDEX(_xlfn._xlws.FILTER(BASE_OP!$F$2:$F$9916,BASE_OP!$G$2:$G$9916=D37),COUNTIF($D$2:D37,D37)),0)</f>
        <v>1</v>
      </c>
      <c r="G37">
        <f t="shared" si="0"/>
        <v>0</v>
      </c>
    </row>
    <row r="38" spans="4:7">
      <c r="D38" s="13">
        <v>46240</v>
      </c>
      <c r="E38" cm="1">
        <f t="array" ref="E38">IFERROR(INDEX(_xlfn._xlws.FILTER(BASE_OP!$D$2:$D$9916,BASE_OP!$G$2:$G$9916=D38),COUNTIF($D$2:D38,D38)),"")</f>
        <v>1</v>
      </c>
      <c r="F38" cm="1">
        <f t="array" ref="F38">IFERROR(INDEX(_xlfn._xlws.FILTER(BASE_OP!$F$2:$F$9916,BASE_OP!$G$2:$G$9916=D38),COUNTIF($D$2:D38,D38)),0)</f>
        <v>1</v>
      </c>
      <c r="G38">
        <f t="shared" si="0"/>
        <v>0</v>
      </c>
    </row>
    <row r="39" spans="4:7">
      <c r="D39" s="13">
        <v>46240</v>
      </c>
      <c r="E39" cm="1">
        <f t="array" ref="E39">IFERROR(INDEX(_xlfn._xlws.FILTER(BASE_OP!$D$2:$D$9916,BASE_OP!$G$2:$G$9916=D39),COUNTIF($D$2:D39,D39)),"")</f>
        <v>1</v>
      </c>
      <c r="F39" cm="1">
        <f t="array" ref="F39">IFERROR(INDEX(_xlfn._xlws.FILTER(BASE_OP!$F$2:$F$9916,BASE_OP!$G$2:$G$9916=D39),COUNTIF($D$2:D39,D39)),0)</f>
        <v>1</v>
      </c>
      <c r="G39">
        <f t="shared" si="0"/>
        <v>0</v>
      </c>
    </row>
    <row r="40" spans="4:7">
      <c r="D40" s="13">
        <v>46241</v>
      </c>
      <c r="E40" cm="1">
        <f t="array" ref="E40">IFERROR(INDEX(_xlfn._xlws.FILTER(BASE_OP!$D$2:$D$9916,BASE_OP!$G$2:$G$9916=D40),COUNTIF($D$2:D40,D40)),"")</f>
        <v>1</v>
      </c>
      <c r="F40" cm="1">
        <f t="array" ref="F40">IFERROR(INDEX(_xlfn._xlws.FILTER(BASE_OP!$F$2:$F$9916,BASE_OP!$G$2:$G$9916=D40),COUNTIF($D$2:D40,D40)),0)</f>
        <v>1</v>
      </c>
      <c r="G40">
        <f t="shared" si="0"/>
        <v>0</v>
      </c>
    </row>
    <row r="41" spans="4:7">
      <c r="D41" s="13">
        <v>46241</v>
      </c>
      <c r="E41" cm="1">
        <f t="array" ref="E41">IFERROR(INDEX(_xlfn._xlws.FILTER(BASE_OP!$D$2:$D$9916,BASE_OP!$G$2:$G$9916=D41),COUNTIF($D$2:D41,D41)),"")</f>
        <v>1</v>
      </c>
      <c r="F41" cm="1">
        <f t="array" ref="F41">IFERROR(INDEX(_xlfn._xlws.FILTER(BASE_OP!$F$2:$F$9916,BASE_OP!$G$2:$G$9916=D41),COUNTIF($D$2:D41,D41)),0)</f>
        <v>1</v>
      </c>
      <c r="G41">
        <f t="shared" si="0"/>
        <v>0</v>
      </c>
    </row>
    <row r="42" spans="4:7">
      <c r="D42" s="13">
        <v>46241</v>
      </c>
      <c r="E42" cm="1">
        <f t="array" ref="E42">IFERROR(INDEX(_xlfn._xlws.FILTER(BASE_OP!$D$2:$D$9916,BASE_OP!$G$2:$G$9916=D42),COUNTIF($D$2:D42,D42)),"")</f>
        <v>1</v>
      </c>
      <c r="F42" cm="1">
        <f t="array" ref="F42">IFERROR(INDEX(_xlfn._xlws.FILTER(BASE_OP!$F$2:$F$9916,BASE_OP!$G$2:$G$9916=D42),COUNTIF($D$2:D42,D42)),0)</f>
        <v>1</v>
      </c>
      <c r="G42">
        <f t="shared" si="0"/>
        <v>0</v>
      </c>
    </row>
    <row r="43" spans="4:7">
      <c r="D43" s="13">
        <v>46241</v>
      </c>
      <c r="E43" cm="1">
        <f t="array" ref="E43">IFERROR(INDEX(_xlfn._xlws.FILTER(BASE_OP!$D$2:$D$9916,BASE_OP!$G$2:$G$9916=D43),COUNTIF($D$2:D43,D43)),"")</f>
        <v>1</v>
      </c>
      <c r="F43" cm="1">
        <f t="array" ref="F43">IFERROR(INDEX(_xlfn._xlws.FILTER(BASE_OP!$F$2:$F$9916,BASE_OP!$G$2:$G$9916=D43),COUNTIF($D$2:D43,D43)),0)</f>
        <v>1</v>
      </c>
      <c r="G43">
        <f t="shared" si="0"/>
        <v>0</v>
      </c>
    </row>
    <row r="44" spans="4:7">
      <c r="D44" s="13">
        <v>46241</v>
      </c>
      <c r="E44" cm="1">
        <f t="array" ref="E44">IFERROR(INDEX(_xlfn._xlws.FILTER(BASE_OP!$D$2:$D$9916,BASE_OP!$G$2:$G$9916=D44),COUNTIF($D$2:D44,D44)),"")</f>
        <v>1</v>
      </c>
      <c r="F44" cm="1">
        <f t="array" ref="F44">IFERROR(INDEX(_xlfn._xlws.FILTER(BASE_OP!$F$2:$F$9916,BASE_OP!$G$2:$G$9916=D44),COUNTIF($D$2:D44,D44)),0)</f>
        <v>1</v>
      </c>
      <c r="G44">
        <f t="shared" si="0"/>
        <v>0</v>
      </c>
    </row>
    <row r="45" spans="4:7">
      <c r="D45" s="13">
        <v>46241</v>
      </c>
      <c r="E45" cm="1">
        <f t="array" ref="E45">IFERROR(INDEX(_xlfn._xlws.FILTER(BASE_OP!$D$2:$D$9916,BASE_OP!$G$2:$G$9916=D45),COUNTIF($D$2:D45,D45)),"")</f>
        <v>1</v>
      </c>
      <c r="F45" cm="1">
        <f t="array" ref="F45">IFERROR(INDEX(_xlfn._xlws.FILTER(BASE_OP!$F$2:$F$9916,BASE_OP!$G$2:$G$9916=D45),COUNTIF($D$2:D45,D45)),0)</f>
        <v>1</v>
      </c>
      <c r="G45">
        <f t="shared" si="0"/>
        <v>0</v>
      </c>
    </row>
    <row r="46" spans="4:7">
      <c r="D46" s="13">
        <v>46244</v>
      </c>
      <c r="E46" cm="1">
        <f t="array" ref="E46">IFERROR(INDEX(_xlfn._xlws.FILTER(BASE_OP!$D$2:$D$9916,BASE_OP!$G$2:$G$9916=D46),COUNTIF($D$2:D46,D46)),"")</f>
        <v>1</v>
      </c>
      <c r="F46" cm="1">
        <f t="array" ref="F46">IFERROR(INDEX(_xlfn._xlws.FILTER(BASE_OP!$F$2:$F$9916,BASE_OP!$G$2:$G$9916=D46),COUNTIF($D$2:D46,D46)),0)</f>
        <v>1</v>
      </c>
      <c r="G46">
        <f t="shared" si="0"/>
        <v>0</v>
      </c>
    </row>
    <row r="47" spans="4:7">
      <c r="D47" s="13">
        <v>46244</v>
      </c>
      <c r="E47" cm="1">
        <f t="array" ref="E47">IFERROR(INDEX(_xlfn._xlws.FILTER(BASE_OP!$D$2:$D$9916,BASE_OP!$G$2:$G$9916=D47),COUNTIF($D$2:D47,D47)),"")</f>
        <v>1</v>
      </c>
      <c r="F47" cm="1">
        <f t="array" ref="F47">IFERROR(INDEX(_xlfn._xlws.FILTER(BASE_OP!$F$2:$F$9916,BASE_OP!$G$2:$G$9916=D47),COUNTIF($D$2:D47,D47)),0)</f>
        <v>1</v>
      </c>
      <c r="G47">
        <f t="shared" si="0"/>
        <v>0</v>
      </c>
    </row>
    <row r="48" spans="4:7">
      <c r="D48" s="13">
        <v>46244</v>
      </c>
      <c r="E48" cm="1">
        <f t="array" ref="E48">IFERROR(INDEX(_xlfn._xlws.FILTER(BASE_OP!$D$2:$D$9916,BASE_OP!$G$2:$G$9916=D48),COUNTIF($D$2:D48,D48)),"")</f>
        <v>1</v>
      </c>
      <c r="F48" cm="1">
        <f t="array" ref="F48">IFERROR(INDEX(_xlfn._xlws.FILTER(BASE_OP!$F$2:$F$9916,BASE_OP!$G$2:$G$9916=D48),COUNTIF($D$2:D48,D48)),0)</f>
        <v>1</v>
      </c>
      <c r="G48">
        <f t="shared" si="0"/>
        <v>0</v>
      </c>
    </row>
    <row r="49" spans="4:7">
      <c r="D49" s="13">
        <v>46244</v>
      </c>
      <c r="E49" cm="1">
        <f t="array" ref="E49">IFERROR(INDEX(_xlfn._xlws.FILTER(BASE_OP!$D$2:$D$9916,BASE_OP!$G$2:$G$9916=D49),COUNTIF($D$2:D49,D49)),"")</f>
        <v>1</v>
      </c>
      <c r="F49" cm="1">
        <f t="array" ref="F49">IFERROR(INDEX(_xlfn._xlws.FILTER(BASE_OP!$F$2:$F$9916,BASE_OP!$G$2:$G$9916=D49),COUNTIF($D$2:D49,D49)),0)</f>
        <v>1</v>
      </c>
      <c r="G49">
        <f t="shared" si="0"/>
        <v>0</v>
      </c>
    </row>
    <row r="50" spans="4:7">
      <c r="D50" s="13">
        <v>46244</v>
      </c>
      <c r="E50" cm="1">
        <f t="array" ref="E50">IFERROR(INDEX(_xlfn._xlws.FILTER(BASE_OP!$D$2:$D$9916,BASE_OP!$G$2:$G$9916=D50),COUNTIF($D$2:D50,D50)),"")</f>
        <v>1</v>
      </c>
      <c r="F50" cm="1">
        <f t="array" ref="F50">IFERROR(INDEX(_xlfn._xlws.FILTER(BASE_OP!$F$2:$F$9916,BASE_OP!$G$2:$G$9916=D50),COUNTIF($D$2:D50,D50)),0)</f>
        <v>1</v>
      </c>
      <c r="G50">
        <f t="shared" si="0"/>
        <v>0</v>
      </c>
    </row>
    <row r="51" spans="4:7">
      <c r="D51" s="13">
        <v>46244</v>
      </c>
      <c r="E51" cm="1">
        <f t="array" ref="E51">IFERROR(INDEX(_xlfn._xlws.FILTER(BASE_OP!$D$2:$D$9916,BASE_OP!$G$2:$G$9916=D51),COUNTIF($D$2:D51,D51)),"")</f>
        <v>1</v>
      </c>
      <c r="F51" cm="1">
        <f t="array" ref="F51">IFERROR(INDEX(_xlfn._xlws.FILTER(BASE_OP!$F$2:$F$9916,BASE_OP!$G$2:$G$9916=D51),COUNTIF($D$2:D51,D51)),0)</f>
        <v>1</v>
      </c>
      <c r="G51">
        <f t="shared" si="0"/>
        <v>0</v>
      </c>
    </row>
    <row r="52" spans="4:7">
      <c r="D52" s="13">
        <v>46245</v>
      </c>
      <c r="E52" cm="1">
        <f t="array" ref="E52">IFERROR(INDEX(_xlfn._xlws.FILTER(BASE_OP!$D$2:$D$9916,BASE_OP!$G$2:$G$9916=D52),COUNTIF($D$2:D52,D52)),"")</f>
        <v>1</v>
      </c>
      <c r="F52" cm="1">
        <f t="array" ref="F52">IFERROR(INDEX(_xlfn._xlws.FILTER(BASE_OP!$F$2:$F$9916,BASE_OP!$G$2:$G$9916=D52),COUNTIF($D$2:D52,D52)),0)</f>
        <v>1</v>
      </c>
      <c r="G52">
        <f t="shared" si="0"/>
        <v>0</v>
      </c>
    </row>
    <row r="53" spans="4:7">
      <c r="D53" s="13">
        <v>46245</v>
      </c>
      <c r="E53" cm="1">
        <f t="array" ref="E53">IFERROR(INDEX(_xlfn._xlws.FILTER(BASE_OP!$D$2:$D$9916,BASE_OP!$G$2:$G$9916=D53),COUNTIF($D$2:D53,D53)),"")</f>
        <v>1</v>
      </c>
      <c r="F53" cm="1">
        <f t="array" ref="F53">IFERROR(INDEX(_xlfn._xlws.FILTER(BASE_OP!$F$2:$F$9916,BASE_OP!$G$2:$G$9916=D53),COUNTIF($D$2:D53,D53)),0)</f>
        <v>1</v>
      </c>
      <c r="G53">
        <f t="shared" si="0"/>
        <v>0</v>
      </c>
    </row>
    <row r="54" spans="4:7">
      <c r="D54" s="13">
        <v>46245</v>
      </c>
      <c r="E54" cm="1">
        <f t="array" ref="E54">IFERROR(INDEX(_xlfn._xlws.FILTER(BASE_OP!$D$2:$D$9916,BASE_OP!$G$2:$G$9916=D54),COUNTIF($D$2:D54,D54)),"")</f>
        <v>1</v>
      </c>
      <c r="F54" cm="1">
        <f t="array" ref="F54">IFERROR(INDEX(_xlfn._xlws.FILTER(BASE_OP!$F$2:$F$9916,BASE_OP!$G$2:$G$9916=D54),COUNTIF($D$2:D54,D54)),0)</f>
        <v>1</v>
      </c>
      <c r="G54">
        <f t="shared" si="0"/>
        <v>0</v>
      </c>
    </row>
    <row r="55" spans="4:7">
      <c r="D55" s="13">
        <v>46245</v>
      </c>
      <c r="E55" cm="1">
        <f t="array" ref="E55">IFERROR(INDEX(_xlfn._xlws.FILTER(BASE_OP!$D$2:$D$9916,BASE_OP!$G$2:$G$9916=D55),COUNTIF($D$2:D55,D55)),"")</f>
        <v>1</v>
      </c>
      <c r="F55" cm="1">
        <f t="array" ref="F55">IFERROR(INDEX(_xlfn._xlws.FILTER(BASE_OP!$F$2:$F$9916,BASE_OP!$G$2:$G$9916=D55),COUNTIF($D$2:D55,D55)),0)</f>
        <v>1</v>
      </c>
      <c r="G55">
        <f t="shared" si="0"/>
        <v>0</v>
      </c>
    </row>
    <row r="56" spans="4:7">
      <c r="D56" s="13">
        <v>46245</v>
      </c>
      <c r="E56" cm="1">
        <f t="array" ref="E56">IFERROR(INDEX(_xlfn._xlws.FILTER(BASE_OP!$D$2:$D$9916,BASE_OP!$G$2:$G$9916=D56),COUNTIF($D$2:D56,D56)),"")</f>
        <v>1</v>
      </c>
      <c r="F56" cm="1">
        <f t="array" ref="F56">IFERROR(INDEX(_xlfn._xlws.FILTER(BASE_OP!$F$2:$F$9916,BASE_OP!$G$2:$G$9916=D56),COUNTIF($D$2:D56,D56)),0)</f>
        <v>1</v>
      </c>
      <c r="G56">
        <f t="shared" si="0"/>
        <v>0</v>
      </c>
    </row>
    <row r="57" spans="4:7">
      <c r="D57" s="13">
        <v>46245</v>
      </c>
      <c r="E57" cm="1">
        <f t="array" ref="E57">IFERROR(INDEX(_xlfn._xlws.FILTER(BASE_OP!$D$2:$D$9916,BASE_OP!$G$2:$G$9916=D57),COUNTIF($D$2:D57,D57)),"")</f>
        <v>1</v>
      </c>
      <c r="F57" cm="1">
        <f t="array" ref="F57">IFERROR(INDEX(_xlfn._xlws.FILTER(BASE_OP!$F$2:$F$9916,BASE_OP!$G$2:$G$9916=D57),COUNTIF($D$2:D57,D57)),0)</f>
        <v>1</v>
      </c>
      <c r="G57">
        <f t="shared" si="0"/>
        <v>0</v>
      </c>
    </row>
    <row r="58" spans="4:7">
      <c r="D58" s="13">
        <v>46247</v>
      </c>
      <c r="E58" cm="1">
        <f t="array" ref="E58">IFERROR(INDEX(_xlfn._xlws.FILTER(BASE_OP!$D$2:$D$9916,BASE_OP!$G$2:$G$9916=D58),COUNTIF($D$2:D58,D58)),"")</f>
        <v>1</v>
      </c>
      <c r="F58" cm="1">
        <f t="array" ref="F58">IFERROR(INDEX(_xlfn._xlws.FILTER(BASE_OP!$F$2:$F$9916,BASE_OP!$G$2:$G$9916=D58),COUNTIF($D$2:D58,D58)),0)</f>
        <v>0</v>
      </c>
      <c r="G58">
        <f t="shared" si="0"/>
        <v>1</v>
      </c>
    </row>
    <row r="59" spans="4:7">
      <c r="D59" s="13">
        <v>46247</v>
      </c>
      <c r="E59" cm="1">
        <f t="array" ref="E59">IFERROR(INDEX(_xlfn._xlws.FILTER(BASE_OP!$D$2:$D$9916,BASE_OP!$G$2:$G$9916=D59),COUNTIF($D$2:D59,D59)),"")</f>
        <v>1</v>
      </c>
      <c r="F59" cm="1">
        <f t="array" ref="F59">IFERROR(INDEX(_xlfn._xlws.FILTER(BASE_OP!$F$2:$F$9916,BASE_OP!$G$2:$G$9916=D59),COUNTIF($D$2:D59,D59)),0)</f>
        <v>1</v>
      </c>
      <c r="G59">
        <f t="shared" si="0"/>
        <v>0</v>
      </c>
    </row>
    <row r="60" spans="4:7">
      <c r="D60" s="13">
        <v>46247</v>
      </c>
      <c r="E60" cm="1">
        <f t="array" ref="E60">IFERROR(INDEX(_xlfn._xlws.FILTER(BASE_OP!$D$2:$D$9916,BASE_OP!$G$2:$G$9916=D60),COUNTIF($D$2:D60,D60)),"")</f>
        <v>1</v>
      </c>
      <c r="F60" cm="1">
        <f t="array" ref="F60">IFERROR(INDEX(_xlfn._xlws.FILTER(BASE_OP!$F$2:$F$9916,BASE_OP!$G$2:$G$9916=D60),COUNTIF($D$2:D60,D60)),0)</f>
        <v>0</v>
      </c>
      <c r="G60">
        <f t="shared" si="0"/>
        <v>1</v>
      </c>
    </row>
    <row r="61" spans="4:7">
      <c r="D61" s="13">
        <v>46247</v>
      </c>
      <c r="E61" cm="1">
        <f t="array" ref="E61">IFERROR(INDEX(_xlfn._xlws.FILTER(BASE_OP!$D$2:$D$9916,BASE_OP!$G$2:$G$9916=D61),COUNTIF($D$2:D61,D61)),"")</f>
        <v>1</v>
      </c>
      <c r="F61" cm="1">
        <f t="array" ref="F61">IFERROR(INDEX(_xlfn._xlws.FILTER(BASE_OP!$F$2:$F$9916,BASE_OP!$G$2:$G$9916=D61),COUNTIF($D$2:D61,D61)),0)</f>
        <v>0</v>
      </c>
      <c r="G61">
        <f t="shared" si="0"/>
        <v>1</v>
      </c>
    </row>
    <row r="62" spans="4:7">
      <c r="D62" s="13">
        <v>46247</v>
      </c>
      <c r="E62" cm="1">
        <f t="array" ref="E62">IFERROR(INDEX(_xlfn._xlws.FILTER(BASE_OP!$D$2:$D$9916,BASE_OP!$G$2:$G$9916=D62),COUNTIF($D$2:D62,D62)),"")</f>
        <v>1</v>
      </c>
      <c r="F62" cm="1">
        <f t="array" ref="F62">IFERROR(INDEX(_xlfn._xlws.FILTER(BASE_OP!$F$2:$F$9916,BASE_OP!$G$2:$G$9916=D62),COUNTIF($D$2:D62,D62)),0)</f>
        <v>0</v>
      </c>
      <c r="G62">
        <f t="shared" si="0"/>
        <v>1</v>
      </c>
    </row>
    <row r="63" spans="4:7">
      <c r="D63" s="13">
        <v>46247</v>
      </c>
      <c r="E63" cm="1">
        <f t="array" ref="E63">IFERROR(INDEX(_xlfn._xlws.FILTER(BASE_OP!$D$2:$D$9916,BASE_OP!$G$2:$G$9916=D63),COUNTIF($D$2:D63,D63)),"")</f>
        <v>1</v>
      </c>
      <c r="F63" cm="1">
        <f t="array" ref="F63">IFERROR(INDEX(_xlfn._xlws.FILTER(BASE_OP!$F$2:$F$9916,BASE_OP!$G$2:$G$9916=D63),COUNTIF($D$2:D63,D63)),0)</f>
        <v>0</v>
      </c>
      <c r="G63">
        <f t="shared" si="0"/>
        <v>1</v>
      </c>
    </row>
    <row r="64" spans="4:7">
      <c r="D64" s="13">
        <v>46248</v>
      </c>
      <c r="E64" cm="1">
        <f t="array" ref="E64">IFERROR(INDEX(_xlfn._xlws.FILTER(BASE_OP!$D$2:$D$9916,BASE_OP!$G$2:$G$9916=D64),COUNTIF($D$2:D64,D64)),"")</f>
        <v>1</v>
      </c>
      <c r="F64" cm="1">
        <f t="array" ref="F64">IFERROR(INDEX(_xlfn._xlws.FILTER(BASE_OP!$F$2:$F$9916,BASE_OP!$G$2:$G$9916=D64),COUNTIF($D$2:D64,D64)),0)</f>
        <v>0</v>
      </c>
      <c r="G64">
        <f t="shared" si="0"/>
        <v>1</v>
      </c>
    </row>
    <row r="65" spans="4:7">
      <c r="D65" s="13">
        <v>46248</v>
      </c>
      <c r="E65" cm="1">
        <f t="array" ref="E65">IFERROR(INDEX(_xlfn._xlws.FILTER(BASE_OP!$D$2:$D$9916,BASE_OP!$G$2:$G$9916=D65),COUNTIF($D$2:D65,D65)),"")</f>
        <v>1</v>
      </c>
      <c r="F65" cm="1">
        <f t="array" ref="F65">IFERROR(INDEX(_xlfn._xlws.FILTER(BASE_OP!$F$2:$F$9916,BASE_OP!$G$2:$G$9916=D65),COUNTIF($D$2:D65,D65)),0)</f>
        <v>0</v>
      </c>
      <c r="G65">
        <f t="shared" si="0"/>
        <v>1</v>
      </c>
    </row>
    <row r="66" spans="4:7">
      <c r="D66" s="13">
        <v>46248</v>
      </c>
      <c r="E66" cm="1">
        <f t="array" ref="E66">IFERROR(INDEX(_xlfn._xlws.FILTER(BASE_OP!$D$2:$D$9916,BASE_OP!$G$2:$G$9916=D66),COUNTIF($D$2:D66,D66)),"")</f>
        <v>1</v>
      </c>
      <c r="F66" cm="1">
        <f t="array" ref="F66">IFERROR(INDEX(_xlfn._xlws.FILTER(BASE_OP!$F$2:$F$9916,BASE_OP!$G$2:$G$9916=D66),COUNTIF($D$2:D66,D66)),0)</f>
        <v>0</v>
      </c>
      <c r="G66">
        <f t="shared" si="0"/>
        <v>1</v>
      </c>
    </row>
    <row r="67" spans="4:7">
      <c r="D67" s="13">
        <v>46248</v>
      </c>
      <c r="E67" cm="1">
        <f t="array" ref="E67">IFERROR(INDEX(_xlfn._xlws.FILTER(BASE_OP!$D$2:$D$9916,BASE_OP!$G$2:$G$9916=D67),COUNTIF($D$2:D67,D67)),"")</f>
        <v>1</v>
      </c>
      <c r="F67" cm="1">
        <f t="array" ref="F67">IFERROR(INDEX(_xlfn._xlws.FILTER(BASE_OP!$F$2:$F$9916,BASE_OP!$G$2:$G$9916=D67),COUNTIF($D$2:D67,D67)),0)</f>
        <v>0</v>
      </c>
      <c r="G67">
        <f t="shared" ref="G67:G102" si="1">IF(E67="","",MAX(0,E67-F67))</f>
        <v>1</v>
      </c>
    </row>
    <row r="68" spans="4:7">
      <c r="D68" s="13">
        <v>46248</v>
      </c>
      <c r="E68" cm="1">
        <f t="array" ref="E68">IFERROR(INDEX(_xlfn._xlws.FILTER(BASE_OP!$D$2:$D$9916,BASE_OP!$G$2:$G$9916=D68),COUNTIF($D$2:D68,D68)),"")</f>
        <v>1</v>
      </c>
      <c r="F68" cm="1">
        <f t="array" ref="F68">IFERROR(INDEX(_xlfn._xlws.FILTER(BASE_OP!$F$2:$F$9916,BASE_OP!$G$2:$G$9916=D68),COUNTIF($D$2:D68,D68)),0)</f>
        <v>0</v>
      </c>
      <c r="G68">
        <f t="shared" si="1"/>
        <v>1</v>
      </c>
    </row>
    <row r="69" spans="4:7">
      <c r="D69" s="13">
        <v>46248</v>
      </c>
      <c r="E69" cm="1">
        <f t="array" ref="E69">IFERROR(INDEX(_xlfn._xlws.FILTER(BASE_OP!$D$2:$D$9916,BASE_OP!$G$2:$G$9916=D69),COUNTIF($D$2:D69,D69)),"")</f>
        <v>1</v>
      </c>
      <c r="F69" cm="1">
        <f t="array" ref="F69">IFERROR(INDEX(_xlfn._xlws.FILTER(BASE_OP!$F$2:$F$9916,BASE_OP!$G$2:$G$9916=D69),COUNTIF($D$2:D69,D69)),0)</f>
        <v>0</v>
      </c>
      <c r="G69">
        <f t="shared" si="1"/>
        <v>1</v>
      </c>
    </row>
    <row r="70" spans="4:7">
      <c r="D70" s="13">
        <v>46251</v>
      </c>
      <c r="E70" cm="1">
        <f t="array" ref="E70">IFERROR(INDEX(_xlfn._xlws.FILTER(BASE_OP!$D$2:$D$9916,BASE_OP!$G$2:$G$9916=D70),COUNTIF($D$2:D70,D70)),"")</f>
        <v>1</v>
      </c>
      <c r="F70" cm="1">
        <f t="array" ref="F70">IFERROR(INDEX(_xlfn._xlws.FILTER(BASE_OP!$F$2:$F$9916,BASE_OP!$G$2:$G$9916=D70),COUNTIF($D$2:D70,D70)),0)</f>
        <v>1</v>
      </c>
      <c r="G70">
        <f t="shared" si="1"/>
        <v>0</v>
      </c>
    </row>
    <row r="71" spans="4:7">
      <c r="D71" s="13">
        <v>46251</v>
      </c>
      <c r="E71" cm="1">
        <f t="array" ref="E71">IFERROR(INDEX(_xlfn._xlws.FILTER(BASE_OP!$D$2:$D$9916,BASE_OP!$G$2:$G$9916=D71),COUNTIF($D$2:D71,D71)),"")</f>
        <v>1</v>
      </c>
      <c r="F71" cm="1">
        <f t="array" ref="F71">IFERROR(INDEX(_xlfn._xlws.FILTER(BASE_OP!$F$2:$F$9916,BASE_OP!$G$2:$G$9916=D71),COUNTIF($D$2:D71,D71)),0)</f>
        <v>0</v>
      </c>
      <c r="G71">
        <f t="shared" si="1"/>
        <v>1</v>
      </c>
    </row>
    <row r="72" spans="4:7">
      <c r="D72" s="13">
        <v>46251</v>
      </c>
      <c r="E72" cm="1">
        <f t="array" ref="E72">IFERROR(INDEX(_xlfn._xlws.FILTER(BASE_OP!$D$2:$D$9916,BASE_OP!$G$2:$G$9916=D72),COUNTIF($D$2:D72,D72)),"")</f>
        <v>1</v>
      </c>
      <c r="F72" cm="1">
        <f t="array" ref="F72">IFERROR(INDEX(_xlfn._xlws.FILTER(BASE_OP!$F$2:$F$9916,BASE_OP!$G$2:$G$9916=D72),COUNTIF($D$2:D72,D72)),0)</f>
        <v>0</v>
      </c>
      <c r="G72">
        <f t="shared" si="1"/>
        <v>1</v>
      </c>
    </row>
    <row r="73" spans="4:7">
      <c r="D73" s="13">
        <v>46251</v>
      </c>
      <c r="E73" cm="1">
        <f t="array" ref="E73">IFERROR(INDEX(_xlfn._xlws.FILTER(BASE_OP!$D$2:$D$9916,BASE_OP!$G$2:$G$9916=D73),COUNTIF($D$2:D73,D73)),"")</f>
        <v>1</v>
      </c>
      <c r="F73" cm="1">
        <f t="array" ref="F73">IFERROR(INDEX(_xlfn._xlws.FILTER(BASE_OP!$F$2:$F$9916,BASE_OP!$G$2:$G$9916=D73),COUNTIF($D$2:D73,D73)),0)</f>
        <v>0</v>
      </c>
      <c r="G73">
        <f t="shared" si="1"/>
        <v>1</v>
      </c>
    </row>
    <row r="74" spans="4:7">
      <c r="D74" s="13">
        <v>46251</v>
      </c>
      <c r="E74" cm="1">
        <f t="array" ref="E74">IFERROR(INDEX(_xlfn._xlws.FILTER(BASE_OP!$D$2:$D$9916,BASE_OP!$G$2:$G$9916=D74),COUNTIF($D$2:D74,D74)),"")</f>
        <v>1</v>
      </c>
      <c r="F74" cm="1">
        <f t="array" ref="F74">IFERROR(INDEX(_xlfn._xlws.FILTER(BASE_OP!$F$2:$F$9916,BASE_OP!$G$2:$G$9916=D74),COUNTIF($D$2:D74,D74)),0)</f>
        <v>0</v>
      </c>
      <c r="G74">
        <f t="shared" si="1"/>
        <v>1</v>
      </c>
    </row>
    <row r="75" spans="4:7">
      <c r="D75" s="13">
        <v>46252</v>
      </c>
      <c r="E75" cm="1">
        <f t="array" ref="E75">IFERROR(INDEX(_xlfn._xlws.FILTER(BASE_OP!$D$2:$D$9916,BASE_OP!$G$2:$G$9916=D75),COUNTIF($D$2:D75,D75)),"")</f>
        <v>1</v>
      </c>
      <c r="F75" cm="1">
        <f t="array" ref="F75">IFERROR(INDEX(_xlfn._xlws.FILTER(BASE_OP!$F$2:$F$9916,BASE_OP!$G$2:$G$9916=D75),COUNTIF($D$2:D75,D75)),0)</f>
        <v>0</v>
      </c>
      <c r="G75">
        <f t="shared" si="1"/>
        <v>1</v>
      </c>
    </row>
    <row r="76" spans="4:7">
      <c r="D76" s="13">
        <v>46252</v>
      </c>
      <c r="E76" cm="1">
        <f t="array" ref="E76">IFERROR(INDEX(_xlfn._xlws.FILTER(BASE_OP!$D$2:$D$9916,BASE_OP!$G$2:$G$9916=D76),COUNTIF($D$2:D76,D76)),"")</f>
        <v>1</v>
      </c>
      <c r="F76" cm="1">
        <f t="array" ref="F76">IFERROR(INDEX(_xlfn._xlws.FILTER(BASE_OP!$F$2:$F$9916,BASE_OP!$G$2:$G$9916=D76),COUNTIF($D$2:D76,D76)),0)</f>
        <v>0</v>
      </c>
      <c r="G76">
        <f t="shared" si="1"/>
        <v>1</v>
      </c>
    </row>
    <row r="77" spans="4:7">
      <c r="D77" s="13">
        <v>46254</v>
      </c>
      <c r="E77" cm="1">
        <f t="array" ref="E77">IFERROR(INDEX(_xlfn._xlws.FILTER(BASE_OP!$D$2:$D$9916,BASE_OP!$G$2:$G$9916=D77),COUNTIF($D$2:D77,D77)),"")</f>
        <v>1</v>
      </c>
      <c r="F77" cm="1">
        <f t="array" ref="F77">IFERROR(INDEX(_xlfn._xlws.FILTER(BASE_OP!$F$2:$F$9916,BASE_OP!$G$2:$G$9916=D77),COUNTIF($D$2:D77,D77)),0)</f>
        <v>0</v>
      </c>
      <c r="G77">
        <f t="shared" si="1"/>
        <v>1</v>
      </c>
    </row>
    <row r="78" spans="4:7">
      <c r="D78" s="13">
        <v>46255</v>
      </c>
      <c r="E78" cm="1">
        <f t="array" ref="E78">IFERROR(INDEX(_xlfn._xlws.FILTER(BASE_OP!$D$2:$D$9916,BASE_OP!$G$2:$G$9916=D78),COUNTIF($D$2:D78,D78)),"")</f>
        <v>1</v>
      </c>
      <c r="F78" cm="1">
        <f t="array" ref="F78">IFERROR(INDEX(_xlfn._xlws.FILTER(BASE_OP!$F$2:$F$9916,BASE_OP!$G$2:$G$9916=D78),COUNTIF($D$2:D78,D78)),0)</f>
        <v>0</v>
      </c>
      <c r="G78">
        <f t="shared" si="1"/>
        <v>1</v>
      </c>
    </row>
    <row r="79" spans="4:7">
      <c r="D79" s="13">
        <v>46255</v>
      </c>
      <c r="E79" cm="1">
        <f t="array" ref="E79">IFERROR(INDEX(_xlfn._xlws.FILTER(BASE_OP!$D$2:$D$9916,BASE_OP!$G$2:$G$9916=D79),COUNTIF($D$2:D79,D79)),"")</f>
        <v>1</v>
      </c>
      <c r="F79" cm="1">
        <f t="array" ref="F79">IFERROR(INDEX(_xlfn._xlws.FILTER(BASE_OP!$F$2:$F$9916,BASE_OP!$G$2:$G$9916=D79),COUNTIF($D$2:D79,D79)),0)</f>
        <v>0</v>
      </c>
      <c r="G79">
        <f t="shared" si="1"/>
        <v>1</v>
      </c>
    </row>
    <row r="80" spans="4:7">
      <c r="D80" s="13">
        <v>46255</v>
      </c>
      <c r="E80" cm="1">
        <f t="array" ref="E80">IFERROR(INDEX(_xlfn._xlws.FILTER(BASE_OP!$D$2:$D$9916,BASE_OP!$G$2:$G$9916=D80),COUNTIF($D$2:D80,D80)),"")</f>
        <v>1</v>
      </c>
      <c r="F80" cm="1">
        <f t="array" ref="F80">IFERROR(INDEX(_xlfn._xlws.FILTER(BASE_OP!$F$2:$F$9916,BASE_OP!$G$2:$G$9916=D80),COUNTIF($D$2:D80,D80)),0)</f>
        <v>0</v>
      </c>
      <c r="G80">
        <f t="shared" si="1"/>
        <v>1</v>
      </c>
    </row>
    <row r="81" spans="4:7">
      <c r="D81" s="13">
        <v>46255</v>
      </c>
      <c r="E81" cm="1">
        <f t="array" ref="E81">IFERROR(INDEX(_xlfn._xlws.FILTER(BASE_OP!$D$2:$D$9916,BASE_OP!$G$2:$G$9916=D81),COUNTIF($D$2:D81,D81)),"")</f>
        <v>1</v>
      </c>
      <c r="F81" cm="1">
        <f t="array" ref="F81">IFERROR(INDEX(_xlfn._xlws.FILTER(BASE_OP!$F$2:$F$9916,BASE_OP!$G$2:$G$9916=D81),COUNTIF($D$2:D81,D81)),0)</f>
        <v>0</v>
      </c>
      <c r="G81">
        <f t="shared" si="1"/>
        <v>1</v>
      </c>
    </row>
    <row r="82" spans="4:7">
      <c r="D82" s="13">
        <v>46258</v>
      </c>
      <c r="E82" cm="1">
        <f t="array" ref="E82">IFERROR(INDEX(_xlfn._xlws.FILTER(BASE_OP!$D$2:$D$9916,BASE_OP!$G$2:$G$9916=D82),COUNTIF($D$2:D82,D82)),"")</f>
        <v>1</v>
      </c>
      <c r="F82" cm="1">
        <f t="array" ref="F82">IFERROR(INDEX(_xlfn._xlws.FILTER(BASE_OP!$F$2:$F$9916,BASE_OP!$G$2:$G$9916=D82),COUNTIF($D$2:D82,D82)),0)</f>
        <v>0</v>
      </c>
      <c r="G82">
        <f t="shared" si="1"/>
        <v>1</v>
      </c>
    </row>
    <row r="83" spans="4:7">
      <c r="D83" s="13">
        <v>46258</v>
      </c>
      <c r="E83" cm="1">
        <f t="array" ref="E83">IFERROR(INDEX(_xlfn._xlws.FILTER(BASE_OP!$D$2:$D$9916,BASE_OP!$G$2:$G$9916=D83),COUNTIF($D$2:D83,D83)),"")</f>
        <v>1</v>
      </c>
      <c r="F83" cm="1">
        <f t="array" ref="F83">IFERROR(INDEX(_xlfn._xlws.FILTER(BASE_OP!$F$2:$F$9916,BASE_OP!$G$2:$G$9916=D83),COUNTIF($D$2:D83,D83)),0)</f>
        <v>0</v>
      </c>
      <c r="G83">
        <f t="shared" si="1"/>
        <v>1</v>
      </c>
    </row>
    <row r="84" spans="4:7">
      <c r="D84" s="13">
        <v>46258</v>
      </c>
      <c r="E84" cm="1">
        <f t="array" ref="E84">IFERROR(INDEX(_xlfn._xlws.FILTER(BASE_OP!$D$2:$D$9916,BASE_OP!$G$2:$G$9916=D84),COUNTIF($D$2:D84,D84)),"")</f>
        <v>1</v>
      </c>
      <c r="F84" cm="1">
        <f t="array" ref="F84">IFERROR(INDEX(_xlfn._xlws.FILTER(BASE_OP!$F$2:$F$9916,BASE_OP!$G$2:$G$9916=D84),COUNTIF($D$2:D84,D84)),0)</f>
        <v>0</v>
      </c>
      <c r="G84">
        <f t="shared" si="1"/>
        <v>1</v>
      </c>
    </row>
    <row r="85" spans="4:7">
      <c r="D85" s="13">
        <v>46259</v>
      </c>
      <c r="E85" cm="1">
        <f t="array" ref="E85">IFERROR(INDEX(_xlfn._xlws.FILTER(BASE_OP!$D$2:$D$9916,BASE_OP!$G$2:$G$9916=D85),COUNTIF($D$2:D85,D85)),"")</f>
        <v>1</v>
      </c>
      <c r="F85" cm="1">
        <f t="array" ref="F85">IFERROR(INDEX(_xlfn._xlws.FILTER(BASE_OP!$F$2:$F$9916,BASE_OP!$G$2:$G$9916=D85),COUNTIF($D$2:D85,D85)),0)</f>
        <v>0</v>
      </c>
      <c r="G85">
        <f t="shared" si="1"/>
        <v>1</v>
      </c>
    </row>
    <row r="86" spans="4:7">
      <c r="D86" s="13">
        <v>46259</v>
      </c>
      <c r="E86" cm="1">
        <f t="array" ref="E86">IFERROR(INDEX(_xlfn._xlws.FILTER(BASE_OP!$D$2:$D$9916,BASE_OP!$G$2:$G$9916=D86),COUNTIF($D$2:D86,D86)),"")</f>
        <v>1</v>
      </c>
      <c r="F86" cm="1">
        <f t="array" ref="F86">IFERROR(INDEX(_xlfn._xlws.FILTER(BASE_OP!$F$2:$F$9916,BASE_OP!$G$2:$G$9916=D86),COUNTIF($D$2:D86,D86)),0)</f>
        <v>0</v>
      </c>
      <c r="G86">
        <f t="shared" si="1"/>
        <v>1</v>
      </c>
    </row>
    <row r="87" spans="4:7">
      <c r="D87" s="13">
        <v>46259</v>
      </c>
      <c r="E87" cm="1">
        <f t="array" ref="E87">IFERROR(INDEX(_xlfn._xlws.FILTER(BASE_OP!$D$2:$D$9916,BASE_OP!$G$2:$G$9916=D87),COUNTIF($D$2:D87,D87)),"")</f>
        <v>1</v>
      </c>
      <c r="F87" cm="1">
        <f t="array" ref="F87">IFERROR(INDEX(_xlfn._xlws.FILTER(BASE_OP!$F$2:$F$9916,BASE_OP!$G$2:$G$9916=D87),COUNTIF($D$2:D87,D87)),0)</f>
        <v>0</v>
      </c>
      <c r="G87">
        <f t="shared" si="1"/>
        <v>1</v>
      </c>
    </row>
    <row r="88" spans="4:7">
      <c r="D88" s="13">
        <v>46259</v>
      </c>
      <c r="E88" cm="1">
        <f t="array" ref="E88">IFERROR(INDEX(_xlfn._xlws.FILTER(BASE_OP!$D$2:$D$9916,BASE_OP!$G$2:$G$9916=D88),COUNTIF($D$2:D88,D88)),"")</f>
        <v>1</v>
      </c>
      <c r="F88" cm="1">
        <f t="array" ref="F88">IFERROR(INDEX(_xlfn._xlws.FILTER(BASE_OP!$F$2:$F$9916,BASE_OP!$G$2:$G$9916=D88),COUNTIF($D$2:D88,D88)),0)</f>
        <v>0</v>
      </c>
      <c r="G88">
        <f t="shared" si="1"/>
        <v>1</v>
      </c>
    </row>
    <row r="89" spans="4:7">
      <c r="D89" s="13">
        <v>46260</v>
      </c>
      <c r="E89" cm="1">
        <f t="array" ref="E89">IFERROR(INDEX(_xlfn._xlws.FILTER(BASE_OP!$D$2:$D$9916,BASE_OP!$G$2:$G$9916=D89),COUNTIF($D$2:D89,D89)),"")</f>
        <v>1</v>
      </c>
      <c r="F89" cm="1">
        <f t="array" ref="F89">IFERROR(INDEX(_xlfn._xlws.FILTER(BASE_OP!$F$2:$F$9916,BASE_OP!$G$2:$G$9916=D89),COUNTIF($D$2:D89,D89)),0)</f>
        <v>0</v>
      </c>
      <c r="G89">
        <f t="shared" si="1"/>
        <v>1</v>
      </c>
    </row>
    <row r="90" spans="4:7">
      <c r="D90" s="13">
        <v>46260</v>
      </c>
      <c r="E90" cm="1">
        <f t="array" ref="E90">IFERROR(INDEX(_xlfn._xlws.FILTER(BASE_OP!$D$2:$D$9916,BASE_OP!$G$2:$G$9916=D90),COUNTIF($D$2:D90,D90)),"")</f>
        <v>1</v>
      </c>
      <c r="F90" cm="1">
        <f t="array" ref="F90">IFERROR(INDEX(_xlfn._xlws.FILTER(BASE_OP!$F$2:$F$9916,BASE_OP!$G$2:$G$9916=D90),COUNTIF($D$2:D90,D90)),0)</f>
        <v>0</v>
      </c>
      <c r="G90">
        <f t="shared" si="1"/>
        <v>1</v>
      </c>
    </row>
    <row r="91" spans="4:7">
      <c r="D91" s="13">
        <v>46260</v>
      </c>
      <c r="E91" cm="1">
        <f t="array" ref="E91">IFERROR(INDEX(_xlfn._xlws.FILTER(BASE_OP!$D$2:$D$9916,BASE_OP!$G$2:$G$9916=D91),COUNTIF($D$2:D91,D91)),"")</f>
        <v>1</v>
      </c>
      <c r="F91" cm="1">
        <f t="array" ref="F91">IFERROR(INDEX(_xlfn._xlws.FILTER(BASE_OP!$F$2:$F$9916,BASE_OP!$G$2:$G$9916=D91),COUNTIF($D$2:D91,D91)),0)</f>
        <v>0</v>
      </c>
      <c r="G91">
        <f t="shared" si="1"/>
        <v>1</v>
      </c>
    </row>
    <row r="92" spans="4:7">
      <c r="D92" s="13">
        <v>46261</v>
      </c>
      <c r="E92" cm="1">
        <f t="array" ref="E92">IFERROR(INDEX(_xlfn._xlws.FILTER(BASE_OP!$D$2:$D$9916,BASE_OP!$G$2:$G$9916=D92),COUNTIF($D$2:D92,D92)),"")</f>
        <v>1</v>
      </c>
      <c r="F92" cm="1">
        <f t="array" ref="F92">IFERROR(INDEX(_xlfn._xlws.FILTER(BASE_OP!$F$2:$F$9916,BASE_OP!$G$2:$G$9916=D92),COUNTIF($D$2:D92,D92)),0)</f>
        <v>0</v>
      </c>
      <c r="G92">
        <f t="shared" si="1"/>
        <v>1</v>
      </c>
    </row>
    <row r="93" spans="4:7">
      <c r="D93" s="13">
        <v>46261</v>
      </c>
      <c r="E93" cm="1">
        <f t="array" ref="E93">IFERROR(INDEX(_xlfn._xlws.FILTER(BASE_OP!$D$2:$D$9916,BASE_OP!$G$2:$G$9916=D93),COUNTIF($D$2:D93,D93)),"")</f>
        <v>1</v>
      </c>
      <c r="F93" cm="1">
        <f t="array" ref="F93">IFERROR(INDEX(_xlfn._xlws.FILTER(BASE_OP!$F$2:$F$9916,BASE_OP!$G$2:$G$9916=D93),COUNTIF($D$2:D93,D93)),0)</f>
        <v>0</v>
      </c>
      <c r="G93">
        <f t="shared" si="1"/>
        <v>1</v>
      </c>
    </row>
    <row r="94" spans="4:7">
      <c r="D94" s="13">
        <v>46261</v>
      </c>
      <c r="E94" cm="1">
        <f t="array" ref="E94">IFERROR(INDEX(_xlfn._xlws.FILTER(BASE_OP!$D$2:$D$9916,BASE_OP!$G$2:$G$9916=D94),COUNTIF($D$2:D94,D94)),"")</f>
        <v>1</v>
      </c>
      <c r="F94" cm="1">
        <f t="array" ref="F94">IFERROR(INDEX(_xlfn._xlws.FILTER(BASE_OP!$F$2:$F$9916,BASE_OP!$G$2:$G$9916=D94),COUNTIF($D$2:D94,D94)),0)</f>
        <v>0</v>
      </c>
      <c r="G94">
        <f t="shared" si="1"/>
        <v>1</v>
      </c>
    </row>
    <row r="95" spans="4:7">
      <c r="D95" s="13">
        <v>46261</v>
      </c>
      <c r="E95" cm="1">
        <f t="array" ref="E95">IFERROR(INDEX(_xlfn._xlws.FILTER(BASE_OP!$D$2:$D$9916,BASE_OP!$G$2:$G$9916=D95),COUNTIF($D$2:D95,D95)),"")</f>
        <v>1</v>
      </c>
      <c r="F95" cm="1">
        <f t="array" ref="F95">IFERROR(INDEX(_xlfn._xlws.FILTER(BASE_OP!$F$2:$F$9916,BASE_OP!$G$2:$G$9916=D95),COUNTIF($D$2:D95,D95)),0)</f>
        <v>0</v>
      </c>
      <c r="G95">
        <f t="shared" si="1"/>
        <v>1</v>
      </c>
    </row>
    <row r="96" spans="4:7">
      <c r="D96" s="13">
        <v>46262</v>
      </c>
      <c r="E96" cm="1">
        <f t="array" ref="E96">IFERROR(INDEX(_xlfn._xlws.FILTER(BASE_OP!$D$2:$D$9916,BASE_OP!$G$2:$G$9916=D96),COUNTIF($D$2:D96,D96)),"")</f>
        <v>1</v>
      </c>
      <c r="F96" cm="1">
        <f t="array" ref="F96">IFERROR(INDEX(_xlfn._xlws.FILTER(BASE_OP!$F$2:$F$9916,BASE_OP!$G$2:$G$9916=D96),COUNTIF($D$2:D96,D96)),0)</f>
        <v>0</v>
      </c>
      <c r="G96">
        <f t="shared" si="1"/>
        <v>1</v>
      </c>
    </row>
    <row r="97" spans="4:7">
      <c r="D97" s="13">
        <v>46262</v>
      </c>
      <c r="E97" cm="1">
        <f t="array" ref="E97">IFERROR(INDEX(_xlfn._xlws.FILTER(BASE_OP!$D$2:$D$9916,BASE_OP!$G$2:$G$9916=D97),COUNTIF($D$2:D97,D97)),"")</f>
        <v>1</v>
      </c>
      <c r="F97" cm="1">
        <f t="array" ref="F97">IFERROR(INDEX(_xlfn._xlws.FILTER(BASE_OP!$F$2:$F$9916,BASE_OP!$G$2:$G$9916=D97),COUNTIF($D$2:D97,D97)),0)</f>
        <v>0</v>
      </c>
      <c r="G97">
        <f t="shared" si="1"/>
        <v>1</v>
      </c>
    </row>
    <row r="98" spans="4:7">
      <c r="D98" s="13">
        <v>46262</v>
      </c>
      <c r="E98" cm="1">
        <f t="array" ref="E98">IFERROR(INDEX(_xlfn._xlws.FILTER(BASE_OP!$D$2:$D$9916,BASE_OP!$G$2:$G$9916=D98),COUNTIF($D$2:D98,D98)),"")</f>
        <v>1</v>
      </c>
      <c r="F98" cm="1">
        <f t="array" ref="F98">IFERROR(INDEX(_xlfn._xlws.FILTER(BASE_OP!$F$2:$F$9916,BASE_OP!$G$2:$G$9916=D98),COUNTIF($D$2:D98,D98)),0)</f>
        <v>0</v>
      </c>
      <c r="G98">
        <f t="shared" si="1"/>
        <v>1</v>
      </c>
    </row>
    <row r="99" spans="4:7">
      <c r="D99" s="13">
        <v>46265</v>
      </c>
      <c r="E99" cm="1">
        <f t="array" ref="E99">IFERROR(INDEX(_xlfn._xlws.FILTER(BASE_OP!$D$2:$D$9916,BASE_OP!$G$2:$G$9916=D99),COUNTIF($D$2:D99,D99)),"")</f>
        <v>1</v>
      </c>
      <c r="F99" cm="1">
        <f t="array" ref="F99">IFERROR(INDEX(_xlfn._xlws.FILTER(BASE_OP!$F$2:$F$9916,BASE_OP!$G$2:$G$9916=D99),COUNTIF($D$2:D99,D99)),0)</f>
        <v>0</v>
      </c>
      <c r="G99">
        <f t="shared" si="1"/>
        <v>1</v>
      </c>
    </row>
    <row r="100" spans="4:7">
      <c r="D100" s="13">
        <v>46265</v>
      </c>
      <c r="E100" cm="1">
        <f t="array" ref="E100">IFERROR(INDEX(_xlfn._xlws.FILTER(BASE_OP!$D$2:$D$9916,BASE_OP!$G$2:$G$9916=D100),COUNTIF($D$2:D100,D100)),"")</f>
        <v>1</v>
      </c>
      <c r="F100" cm="1">
        <f t="array" ref="F100">IFERROR(INDEX(_xlfn._xlws.FILTER(BASE_OP!$F$2:$F$9916,BASE_OP!$G$2:$G$9916=D100),COUNTIF($D$2:D100,D100)),0)</f>
        <v>0</v>
      </c>
      <c r="G100">
        <f t="shared" si="1"/>
        <v>1</v>
      </c>
    </row>
    <row r="101" spans="4:7">
      <c r="D101" s="13">
        <v>46265</v>
      </c>
      <c r="E101" cm="1">
        <f t="array" ref="E101">IFERROR(INDEX(_xlfn._xlws.FILTER(BASE_OP!$D$2:$D$9916,BASE_OP!$G$2:$G$9916=D101),COUNTIF($D$2:D101,D101)),"")</f>
        <v>1</v>
      </c>
      <c r="F101" cm="1">
        <f t="array" ref="F101">IFERROR(INDEX(_xlfn._xlws.FILTER(BASE_OP!$F$2:$F$9916,BASE_OP!$G$2:$G$9916=D101),COUNTIF($D$2:D101,D101)),0)</f>
        <v>0</v>
      </c>
      <c r="G101">
        <f t="shared" si="1"/>
        <v>1</v>
      </c>
    </row>
    <row r="102" spans="4:7">
      <c r="D102" s="13">
        <v>46265</v>
      </c>
      <c r="E102" cm="1">
        <f t="array" ref="E102">IFERROR(INDEX(_xlfn._xlws.FILTER(BASE_OP!$D$2:$D$9916,BASE_OP!$G$2:$G$9916=D102),COUNTIF($D$2:D102,D102)),"")</f>
        <v>1</v>
      </c>
      <c r="F102" cm="1">
        <f t="array" ref="F102">IFERROR(INDEX(_xlfn._xlws.FILTER(BASE_OP!$F$2:$F$9916,BASE_OP!$G$2:$G$9916=D102),COUNTIF($D$2:D102,D102)),0)</f>
        <v>0</v>
      </c>
      <c r="G102">
        <f t="shared" si="1"/>
        <v>1</v>
      </c>
    </row>
  </sheetData>
  <autoFilter ref="D1:G102" xr:uid="{00000000-0009-0000-0000-000003000000}"/>
  <dataValidations disablePrompts="1" count="3">
    <dataValidation type="list" sqref="I8" xr:uid="{1D3ABE33-0905-4293-8F41-8BDAFC67ADEB}">
      <formula1>"Liberada,Ordem apontada em aberto, Ordem apontada fechada,Em Produção,Aguardando Material,Aguardando Qualidade,Ordem Apontada,Falta Apontamento,Parada,Encerrada"</formula1>
    </dataValidation>
    <dataValidation type="list" sqref="I9:I10" xr:uid="{318B8024-5FE4-4FCA-ADAE-A1B58FB9D39A}">
      <formula1>"Liberada,Em Produção,Aguardando Material,Aguardando apontamento em aberta,,Aguardando Qualidade,Parada,Encerrada"</formula1>
    </dataValidation>
    <dataValidation type="list" sqref="L9" xr:uid="{00000000-0002-0000-0300-000002000000}">
      <formula1>"Falta de material,Máquina parada,Manutenção,Problemas de qualidade,Falta de operador,Ordem apontada, Ordem pendente de apontamento,processo,Outros,-"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73F0-3887-4CD4-ABC4-4D32A106FEEF}">
  <dimension ref="A1:A13"/>
  <sheetViews>
    <sheetView workbookViewId="0">
      <selection sqref="A1:A13"/>
    </sheetView>
  </sheetViews>
  <sheetFormatPr defaultRowHeight="14.5"/>
  <cols>
    <col min="1" max="1" width="67.08984375" bestFit="1" customWidth="1"/>
  </cols>
  <sheetData>
    <row r="1" spans="1:1">
      <c r="A1" s="23" t="s">
        <v>173</v>
      </c>
    </row>
    <row r="2" spans="1:1">
      <c r="A2" s="23" t="s">
        <v>174</v>
      </c>
    </row>
    <row r="3" spans="1:1">
      <c r="A3" s="23" t="s">
        <v>175</v>
      </c>
    </row>
    <row r="4" spans="1:1">
      <c r="A4" s="23" t="s">
        <v>176</v>
      </c>
    </row>
    <row r="5" spans="1:1">
      <c r="A5" s="23" t="s">
        <v>177</v>
      </c>
    </row>
    <row r="6" spans="1:1">
      <c r="A6" s="23" t="s">
        <v>178</v>
      </c>
    </row>
    <row r="7" spans="1:1">
      <c r="A7" s="23" t="s">
        <v>179</v>
      </c>
    </row>
    <row r="8" spans="1:1">
      <c r="A8" s="23" t="s">
        <v>180</v>
      </c>
    </row>
    <row r="9" spans="1:1">
      <c r="A9" s="23" t="s">
        <v>174</v>
      </c>
    </row>
    <row r="10" spans="1:1">
      <c r="A10" s="23" t="s">
        <v>177</v>
      </c>
    </row>
    <row r="11" spans="1:1">
      <c r="A11" s="23" t="s">
        <v>178</v>
      </c>
    </row>
    <row r="12" spans="1:1">
      <c r="A12" s="23" t="s">
        <v>181</v>
      </c>
    </row>
    <row r="13" spans="1:1">
      <c r="A13" s="23" t="s">
        <v>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DASHBOARD</vt:lpstr>
      <vt:lpstr>Planilha3</vt:lpstr>
      <vt:lpstr>Planilha2</vt:lpstr>
      <vt:lpstr>BASE_OP</vt:lpstr>
      <vt:lpstr>CALCULOS</vt:lpstr>
      <vt:lpstr>Planilha4</vt:lpstr>
      <vt:lpstr>ListaModelos</vt:lpstr>
      <vt:lpstr>ListaStatus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s.lidiafernandes@byd.com</cp:lastModifiedBy>
  <dcterms:created xsi:type="dcterms:W3CDTF">2026-08-10T17:35:45Z</dcterms:created>
  <dcterms:modified xsi:type="dcterms:W3CDTF">2026-08-18T11:21:15Z</dcterms:modified>
</cp:coreProperties>
</file>